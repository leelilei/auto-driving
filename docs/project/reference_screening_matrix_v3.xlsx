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5d6fcea8d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atrix" sheetId="1" r:id="R2b5ca6b269394e4a"/>
    <x:sheet xmlns:r="http://schemas.openxmlformats.org/officeDocument/2006/relationships" name="Screening Summary" sheetId="2" r:id="R1f0769d26d3a46ec"/>
    <x:sheet xmlns:r="http://schemas.openxmlformats.org/officeDocument/2006/relationships" name="Legend" sheetId="3" r:id="R7294d2aa1fbb4518"/>
    <x:sheet xmlns:r="http://schemas.openxmlformats.org/officeDocument/2006/relationships" name="Deep Dive ≥4" sheetId="4" r:id="Re23f9ab1dfcc4e67"/>
    <x:sheet xmlns:r="http://schemas.openxmlformats.org/officeDocument/2006/relationships" name="Novelty Claims" sheetId="5" r:id="R16b412f2a1e14570"/>
    <x:sheet xmlns:r="http://schemas.openxmlformats.org/officeDocument/2006/relationships" name="Round 3 Search" sheetId="6" r:id="Rcccbd2acf1ba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sz val="10"/>
      <x:name val="Carlito"/>
    </x:font>
    <x:font>
      <x:i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wrapText="1"/>
    </x:xf>
    <x:xf numFmtId="0" fontId="8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280a55eec4497" /><Relationship Type="http://schemas.openxmlformats.org/officeDocument/2006/relationships/theme" Target="/xl/theme/theme1.xml" Id="Rd477146ffbef44fc" /><Relationship Type="http://schemas.openxmlformats.org/officeDocument/2006/relationships/sharedStrings" Target="/xl/sharedStrings.xml" Id="R3ccb53e81d8c41ea" /><Relationship Type="http://schemas.openxmlformats.org/officeDocument/2006/relationships/worksheet" Target="/xl/worksheets/sheet1.xml" Id="R2b5ca6b269394e4a" /><Relationship Type="http://schemas.openxmlformats.org/officeDocument/2006/relationships/worksheet" Target="/xl/worksheets/sheet2.xml" Id="R1f0769d26d3a46ec" /><Relationship Type="http://schemas.openxmlformats.org/officeDocument/2006/relationships/worksheet" Target="/xl/worksheets/sheet3.xml" Id="R7294d2aa1fbb4518" /><Relationship Type="http://schemas.openxmlformats.org/officeDocument/2006/relationships/worksheet" Target="/xl/worksheets/sheet4.xml" Id="Re23f9ab1dfcc4e67" /><Relationship Type="http://schemas.openxmlformats.org/officeDocument/2006/relationships/worksheet" Target="/xl/worksheets/sheet5.xml" Id="R16b412f2a1e14570" /><Relationship Type="http://schemas.openxmlformats.org/officeDocument/2006/relationships/worksheet" Target="/xl/worksheets/sheet6.xml" Id="Rcccbd2acf1ba4e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96de3828d143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Threat Score 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文献数</c:v>
          </c:tx>
          <c:cat>
            <c:strRef>
              <c:f>'Screening Summary'!$D$4:$D$8</c:f>
              <c:strCache>
                <c:ptCount val="0"/>
              </c:strCache>
            </c:strRef>
          </c:cat>
          <c:val>
            <c:numRef>
              <c:f>'Screening Summary'!$E$4:$E$8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96de3828d143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ferenceScreeningTable" displayName="ReferenceScreeningTable" ref="A4:Y24" headerRowCount="1" totalsRowCount="0" totalsRowShown="0">
  <x:tableColumns count="25">
    <x:tableColumn id="1" name="ID"/>
    <x:tableColumn id="2" name="分层"/>
    <x:tableColumn id="3" name="Threat Score"/>
    <x:tableColumn id="4" name="引用优先级"/>
    <x:tableColumn id="5" name="论文"/>
    <x:tableColumn id="6" name="简称"/>
    <x:tableColumn id="7" name="作者"/>
    <x:tableColumn id="8" name="年份"/>
    <x:tableColumn id="9" name="Venue / Status"/>
    <x:tableColumn id="10" name="领域"/>
    <x:tableColumn id="11" name="偏好/输入来源"/>
    <x:tableColumn id="12" name="含隐式偏好?"/>
    <x:tableColumn id="13" name="单轮自然语言?"/>
    <x:tableColumn id="14" name="结构化偏好/意图表示?"/>
    <x:tableColumn id="15" name="Hard/Soft 区分?"/>
    <x:tableColumn id="16" name="外部 Solver / 确定性 Planner?"/>
    <x:tableColumn id="17" name="Route-specific?"/>
    <x:tableColumn id="18" name="Paraphrase / Robustness?"/>
    <x:tableColumn id="19" name="Benchmark / Data"/>
    <x:tableColumn id="20" name="核心贡献"/>
    <x:tableColumn id="21" name="与当前 Implicit2Route 重合"/>
    <x:tableColumn id="22" name="仍可留下的 Gap"/>
    <x:tableColumn id="23" name="审稿风险 / 对项目启示"/>
    <x:tableColumn id="24" name="Source URL"/>
    <x:tableColumn id="2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atDeepDiveTable" displayName="ThreatDeepDiveTable" ref="A4:T11" headerRowCount="1" totalsRowCount="0" totalsRowShown="0">
  <x:tableColumns count="20">
    <x:tableColumn id="1" name="ID"/>
    <x:tableColumn id="2" name="Paper"/>
    <x:tableColumn id="3" name="Venue / Status"/>
    <x:tableColumn id="4" name="Threat"/>
    <x:tableColumn id="5" name="Exact Novelty Claim（精读后）"/>
    <x:tableColumn id="6" name="核心结构化表示"/>
    <x:tableColumn id="7" name="Implicitness 到底来自哪里"/>
    <x:tableColumn id="8" name="Solver / Planner"/>
    <x:tableColumn id="9" name="Dataset / Scale"/>
    <x:tableColumn id="10" name="Evaluation Metrics"/>
    <x:tableColumn id="11" name="是否真正测 Linguistic Robustness?"/>
    <x:tableColumn id="12" name="关键结果"/>
    <x:tableColumn id="13" name="与我们最接近的重合"/>
    <x:tableColumn id="14" name="真正未覆盖的 Gap"/>
    <x:tableColumn id="15" name="Can We Safely Claim First?"/>
    <x:tableColumn id="16" name="建议的安全 Claim"/>
    <x:tableColumn id="17" name="我们必须补的实验"/>
    <x:tableColumn id="18" name="Evidence URLs"/>
    <x:tableColumn id="19" name="精读状态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veltyClaimsTable" displayName="NoveltyClaimsTable" ref="A4:G11" headerRowCount="1" totalsRowCount="0" totalsRowShown="0">
  <x:tableColumns count="7">
    <x:tableColumn id="1" name="Claim ID"/>
    <x:tableColumn id="2" name="原方案 / 候选创新"/>
    <x:tableColumn id="3" name="具体 Claim"/>
    <x:tableColumn id="4" name="当前安全性"/>
    <x:tableColumn id="5" name="主要 Prior Art / 原因"/>
    <x:tableColumn id="6" name="Collision Score"/>
    <x:tableColumn id="7" name="建议处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nd3SearchTable" displayName="Round3SearchTable" ref="A4:S14" headerRowCount="1" totalsRowCount="0" totalsRowShown="0">
  <x:tableColumns count="19">
    <x:tableColumn id="1" name="ID"/>
    <x:tableColumn id="2" name="分层"/>
    <x:tableColumn id="3" name="Threat"/>
    <x:tableColumn id="4" name="引用优先级"/>
    <x:tableColumn id="5" name="论文"/>
    <x:tableColumn id="6" name="年份 / Venue"/>
    <x:tableColumn id="7" name="研究对象"/>
    <x:tableColumn id="8" name="输入变化 / Preference 来源"/>
    <x:tableColumn id="9" name="是否 route/driving specific?"/>
    <x:tableColumn id="10" name="是否 semantic-equivalent / paraphrase?"/>
    <x:tableColumn id="11" name="是否看 downstream action/decision?"/>
    <x:tableColumn id="12" name="是否有中间 preference representation?"/>
    <x:tableColumn id="13" name="关键实验 / 指标"/>
    <x:tableColumn id="14" name="与我们当前 C5/C6 的重合"/>
    <x:tableColumn id="15" name="没有覆盖的地方"/>
    <x:tableColumn id="16" name="对 Novelty Claim 的影响"/>
    <x:tableColumn id="17" name="建议在论文中的角色"/>
    <x:tableColumn id="18" name="Source URL"/>
    <x:tableColumn id="19" name="当前判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57fa1545574c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cbfc424961e4f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ba2f0e97be2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5c259905b342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1de162c8724fa5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2" hidden="0" customWidth="1"/>
    <x:col min="3" max="3" width="11" hidden="0" customWidth="1"/>
    <x:col min="4" max="4" width="11" hidden="0" customWidth="1"/>
    <x:col min="5" max="5" width="42" hidden="0" customWidth="1"/>
    <x:col min="6" max="6" width="16" hidden="0" customWidth="1"/>
    <x:col min="7" max="7" width="34" hidden="0" customWidth="1"/>
    <x:col min="8" max="8" width="8" hidden="0" customWidth="1"/>
    <x:col min="9" max="9" width="22" hidden="0" customWidth="1"/>
    <x:col min="10" max="10" width="20" hidden="0" customWidth="1"/>
    <x:col min="11" max="11" width="30" hidden="0" customWidth="1"/>
    <x:col min="12" max="12" width="12" hidden="0" customWidth="1"/>
    <x:col min="13" max="13" width="13" hidden="0" customWidth="1"/>
    <x:col min="14" max="14" width="23" hidden="0" customWidth="1"/>
    <x:col min="15" max="15" width="20" hidden="0" customWidth="1"/>
    <x:col min="16" max="16" width="24" hidden="0" customWidth="1"/>
    <x:col min="17" max="17" width="15" hidden="0" customWidth="1"/>
    <x:col min="18" max="18" width="25" hidden="0" customWidth="1"/>
    <x:col min="19" max="19" width="3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4" hidden="0" customWidth="1"/>
    <x:col min="25" max="25" width="30" hidden="0" customWidth="1"/>
  </x:cols>
  <x:sheetData>
    <x:row r="1" ht="28" customHeight="1">
      <x:c r="A1" s="4" t="str">
        <x:v>Implicit2Route — Reference Screening Matrix (v1)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8" customHeight="1">
      <x:c r="A2" s="10" t="str">
        <x:v>筛查目标：判断“隐式自然语言偏好 → 结构化 preference/constraint → route/solver → robustness”各环节是否已被覆盖。Threat Score 是创新性风险判断（5=高度直接撞题），不是论文质量评分。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</x:row>
    <x:row r="4" ht="38" customHeight="1">
      <x:c r="A4" s="18" t="str">
        <x:v>ID</x:v>
      </x:c>
      <x:c r="B4" s="18" t="str">
        <x:v>分层</x:v>
      </x:c>
      <x:c r="C4" s="18" t="str">
        <x:v>Threat Score</x:v>
      </x:c>
      <x:c r="D4" s="18" t="str">
        <x:v>引用优先级</x:v>
      </x:c>
      <x:c r="E4" s="18" t="str">
        <x:v>论文</x:v>
      </x:c>
      <x:c r="F4" s="18" t="str">
        <x:v>简称</x:v>
      </x:c>
      <x:c r="G4" s="18" t="str">
        <x:v>作者</x:v>
      </x:c>
      <x:c r="H4" s="18" t="str">
        <x:v>年份</x:v>
      </x:c>
      <x:c r="I4" s="18" t="str">
        <x:v>Venue / Status</x:v>
      </x:c>
      <x:c r="J4" s="18" t="str">
        <x:v>领域</x:v>
      </x:c>
      <x:c r="K4" s="18" t="str">
        <x:v>偏好/输入来源</x:v>
      </x:c>
      <x:c r="L4" s="18" t="str">
        <x:v>含隐式偏好?</x:v>
      </x:c>
      <x:c r="M4" s="18" t="str">
        <x:v>单轮自然语言?</x:v>
      </x:c>
      <x:c r="N4" s="18" t="str">
        <x:v>结构化偏好/意图表示?</x:v>
      </x:c>
      <x:c r="O4" s="18" t="str">
        <x:v>Hard/Soft 区分?</x:v>
      </x:c>
      <x:c r="P4" s="18" t="str">
        <x:v>外部 Solver / 确定性 Planner?</x:v>
      </x:c>
      <x:c r="Q4" s="18" t="str">
        <x:v>Route-specific?</x:v>
      </x:c>
      <x:c r="R4" s="18" t="str">
        <x:v>Paraphrase / Robustness?</x:v>
      </x:c>
      <x:c r="S4" s="18" t="str">
        <x:v>Benchmark / Data</x:v>
      </x:c>
      <x:c r="T4" s="18" t="str">
        <x:v>核心贡献</x:v>
      </x:c>
      <x:c r="U4" s="18" t="str">
        <x:v>与当前 Implicit2Route 重合</x:v>
      </x:c>
      <x:c r="V4" s="18" t="str">
        <x:v>仍可留下的 Gap</x:v>
      </x:c>
      <x:c r="W4" s="18" t="str">
        <x:v>审稿风险 / 对项目启示</x:v>
      </x:c>
      <x:c r="X4" s="18" t="str">
        <x:v>Source URL</x:v>
      </x:c>
      <x:c r="Y4" s="18" t="str">
        <x:v>备注</x:v>
      </x:c>
    </x:row>
    <x:row r="5" ht="52" customHeight="1">
      <x:c r="A5" s="26" t="n">
        <x:v>1</x:v>
      </x:c>
      <x:c r="B5" s="26" t="str">
        <x:v>A 直接撞题</x:v>
      </x:c>
      <x:c r="C5" s="26" t="n">
        <x:v>5</x:v>
      </x:c>
      <x:c r="D5" s="26" t="str">
        <x:v>必引</x:v>
      </x:c>
      <x:c r="E5" s="26" t="str">
        <x:v>LLMAP: LLM-Assisted Multi-Objective Route Planning with User Preferences</x:v>
      </x:c>
      <x:c r="F5" s="26" t="str">
        <x:v>LLMAP</x:v>
      </x:c>
      <x:c r="G5" s="26" t="str">
        <x:v>Liangqi Yuan; Dong-Jun Han; Christopher G. Brinton; Sabine Brunswicker</x:v>
      </x:c>
      <x:c r="H5" s="26" t="n">
        <x:v>2025</x:v>
      </x:c>
      <x:c r="I5" s="26" t="str">
        <x:v>Findings of EMNLP 2025</x:v>
      </x:c>
      <x:c r="J5" s="26" t="str">
        <x:v>路线规划 / 多目标优化</x:v>
      </x:c>
      <x:c r="K5" s="26" t="str">
        <x:v>单轮自然语言路线请求中的用户目标、约束与任务依赖</x:v>
      </x:c>
      <x:c r="L5" s="26" t="str">
        <x:v>混合</x:v>
      </x:c>
      <x:c r="M5" s="26" t="str">
        <x:v>是</x:v>
      </x:c>
      <x:c r="N5" s="26" t="str">
        <x:v>是：偏好/任务/依赖</x:v>
      </x:c>
      <x:c r="O5" s="26" t="str">
        <x:v>部分：显式约束 + 多目标权重</x:v>
      </x:c>
      <x:c r="P5" s="26" t="str">
        <x:v>是：MSGS 图搜索/优化</x:v>
      </x:c>
      <x:c r="Q5" s="26" t="str">
        <x:v>是</x:v>
      </x:c>
      <x:c r="R5" s="26" t="str">
        <x:v>未以语言等价性为核心</x:v>
      </x:c>
      <x:c r="S5" s="26" t="str">
        <x:v>1,000 routing prompts；14国27城</x:v>
      </x:c>
      <x:c r="T5" s="26" t="str">
        <x:v>LLM-as-Parser 提取偏好与任务依赖，再交给确定性图搜索/多目标优化器。</x:v>
      </x:c>
      <x:c r="U5" s="26" t="str">
        <x:v>与“LLM理解人→偏好空间→确定性路线优化”的主链路高度重合。</x:v>
      </x:c>
      <x:c r="V5" s="26" t="str">
        <x:v>仍可研究：同一隐式偏好跨不同自然表达是否保持 grounding/decision 等价；以及 downstream regret。</x:v>
      </x:c>
      <x:c r="W5" s="26" t="str">
        <x:v>不能再把“LLM只负责解析、solver负责路线”当核心创新；需要作为方法底座。</x:v>
      </x:c>
      <x:c r="X5" s="26" t="str">
        <x:v>https://aclanthology.org/2025.findings-emnlp.416/</x:v>
      </x:c>
      <x:c r="Y5" s="26" t="str">
        <x:v>正式同行评审；当前最关键对照之一。</x:v>
      </x:c>
    </x:row>
    <x:row r="6" ht="52" customHeight="1">
      <x:c r="A6" s="26" t="n">
        <x:v>2</x:v>
      </x:c>
      <x:c r="B6" s="26" t="str">
        <x:v>A 直接撞题</x:v>
      </x:c>
      <x:c r="C6" s="26" t="n">
        <x:v>5</x:v>
      </x:c>
      <x:c r="D6" s="26" t="str">
        <x:v>必引</x:v>
      </x:c>
      <x:c r="E6" s="26" t="str">
        <x:v>Constraint-Aware Route Recommendation from Natural Language via Hierarchical LLM Agents</x:v>
      </x:c>
      <x:c r="F6" s="26" t="str">
        <x:v>RouteLLM</x:v>
      </x:c>
      <x:c r="G6" s="26" t="str">
        <x:v>Tao Zhe; Rui Liu; Fateme Memar; Xiao Luo; Wei Fan; Xinyue Ye; Zhongren Peng; Dongjie Wang</x:v>
      </x:c>
      <x:c r="H6" s="26" t="n">
        <x:v>2025</x:v>
      </x:c>
      <x:c r="I6" s="26" t="str">
        <x:v>arXiv preprint</x:v>
      </x:c>
      <x:c r="J6" s="26" t="str">
        <x:v>路线推荐 / 多智能体</x:v>
      </x:c>
      <x:c r="K6" s="26" t="str">
        <x:v>单轮自然语言：POI、路径偏好、约束</x:v>
      </x:c>
      <x:c r="L6" s="26" t="str">
        <x:v>混合</x:v>
      </x:c>
      <x:c r="M6" s="26" t="str">
        <x:v>是</x:v>
      </x:c>
      <x:c r="N6" s="26" t="str">
        <x:v>是：structured intents / constraints</x:v>
      </x:c>
      <x:c r="O6" s="26" t="str">
        <x:v>是：约束与偏好被显式建模</x:v>
      </x:c>
      <x:c r="P6" s="26" t="str">
        <x:v>是：routing engine + verifier</x:v>
      </x:c>
      <x:c r="Q6" s="26" t="str">
        <x:v>是</x:v>
      </x:c>
      <x:c r="R6" s="26" t="str">
        <x:v>未见以 paraphrase invariance 为核心</x:v>
      </x:c>
      <x:c r="S6" s="26" t="str">
        <x:v>合成/真实路线实验（论文报告）</x:v>
      </x:c>
      <x:c r="T6" s="26" t="str">
        <x:v>层级多智能体将自然语言意图解析为可计算的路线约束与偏好，并由 routing engine 求解。</x:v>
      </x:c>
      <x:c r="U6" s="26" t="str">
        <x:v>与你的 x→(P,C)→route selection 结构高度同构，尤其威胁 soft/hard constraint claim。</x:v>
      </x:c>
      <x:c r="V6" s="26" t="str">
        <x:v>可切到语义等价表达的一致性、隐式语用表达、冲突表达及 constraint-flip 风险。</x:v>
      </x:c>
      <x:c r="W6" s="26" t="str">
        <x:v>Soft/Hard distinction 与 structured grounding 不宜写成独立创新点。</x:v>
      </x:c>
      <x:c r="X6" s="26" t="str">
        <x:v>https://arxiv.org/abs/2510.06078</x:v>
      </x:c>
      <x:c r="Y6" s="26" t="str">
        <x:v>预印本，但题目与方法直接相关，必须重点精读。</x:v>
      </x:c>
    </x:row>
    <x:row r="7" ht="52" customHeight="1">
      <x:c r="A7" s="26" t="n">
        <x:v>3</x:v>
      </x:c>
      <x:c r="B7" s="26" t="str">
        <x:v>A 直接撞题</x:v>
      </x:c>
      <x:c r="C7" s="26" t="n">
        <x:v>4</x:v>
      </x:c>
      <x:c r="D7" s="26" t="str">
        <x:v>必引</x:v>
      </x:c>
      <x:c r="E7" s="26" t="str">
        <x:v>PathGPT: Leveraging Large Language Models for Personalized Route Generation</x:v>
      </x:c>
      <x:c r="F7" s="26" t="str">
        <x:v>PathGPT</x:v>
      </x:c>
      <x:c r="G7" s="26" t="str">
        <x:v>Steeve Cuthbert Marcelyn; Yucen Gao; Yuzhe Zhang; Xiaofeng Gao; Guihai Chen</x:v>
      </x:c>
      <x:c r="H7" s="26" t="n">
        <x:v>2025</x:v>
      </x:c>
      <x:c r="I7" s="26" t="str">
        <x:v>arXiv preprint</x:v>
      </x:c>
      <x:c r="J7" s="26" t="str">
        <x:v>个性化路线推荐</x:v>
      </x:c>
      <x:c r="K7" s="26" t="str">
        <x:v>起终点 + 用户定义的路径特征/约束</x:v>
      </x:c>
      <x:c r="L7" s="26" t="str">
        <x:v>有限</x:v>
      </x:c>
      <x:c r="M7" s="26" t="str">
        <x:v>是</x:v>
      </x:c>
      <x:c r="N7" s="26" t="str">
        <x:v>否：端到端文本生成路线为主</x:v>
      </x:c>
      <x:c r="O7" s="26" t="str">
        <x:v>否</x:v>
      </x:c>
      <x:c r="P7" s="26" t="str">
        <x:v>否：LLM直接生成路径，RAG提供历史路径上下文</x:v>
      </x:c>
      <x:c r="Q7" s="26" t="str">
        <x:v>是</x:v>
      </x:c>
      <x:c r="R7" s="26" t="str">
        <x:v>提到相同/相似 prompt 输出不一致，但非系统 benchmark</x:v>
      </x:c>
      <x:c r="S7" s="26" t="str">
        <x:v>北京/成都/哈尔滨/波尔图历史轨迹</x:v>
      </x:c>
      <x:c r="T7" s="26" t="str">
        <x:v>把 PRR 表述为 NLP 任务，并用历史路径 RAG 提升 LLM 生成路线的准确性与适应性。</x:v>
      </x:c>
      <x:c r="U7" s="26" t="str">
        <x:v>覆盖“自然语言个性化路线需求→LLM路线推荐”；且论文已观察到 prompt/输出不一致问题。</x:v>
      </x:c>
      <x:c r="V7" s="26" t="str">
        <x:v>你的优势可在可验证结构化 grounding 和正式 paraphrase robustness metric，而非直接路线生成。</x:v>
      </x:c>
      <x:c r="W7" s="26" t="str">
        <x:v>Related Work 必须解释为何不做 end-to-end generation；可把其不一致性观察作为动机。</x:v>
      </x:c>
      <x:c r="X7" s="26" t="str">
        <x:v>https://arxiv.org/abs/2504.05846</x:v>
      </x:c>
      <x:c r="Y7" s="26" t="str">
        <x:v>对 robustness 动机尤其有用。</x:v>
      </x:c>
    </x:row>
    <x:row r="8" ht="52" customHeight="1">
      <x:c r="A8" s="26" t="n">
        <x:v>4</x:v>
      </x:c>
      <x:c r="B8" s="26" t="str">
        <x:v>B 强相关</x:v>
      </x:c>
      <x:c r="C8" s="26" t="n">
        <x:v>3</x:v>
      </x:c>
      <x:c r="D8" s="26" t="str">
        <x:v>强烈建议</x:v>
      </x:c>
      <x:c r="E8" s="26" t="str">
        <x:v>MAPLE: A Framework for Active Preference Learning Guided by Large Language Models</x:v>
      </x:c>
      <x:c r="F8" s="26" t="str">
        <x:v>MAPLE</x:v>
      </x:c>
      <x:c r="G8" s="26" t="str">
        <x:v>Saaduddin Mahmud; Mason Nakamura; Shlomo Zilberstein</x:v>
      </x:c>
      <x:c r="H8" s="26" t="n">
        <x:v>2025</x:v>
      </x:c>
      <x:c r="I8" s="26" t="str">
        <x:v>AAAI 2025</x:v>
      </x:c>
      <x:c r="J8" s="26" t="str">
        <x:v>偏好学习 / 车辆路线</x:v>
      </x:c>
      <x:c r="K8" s="26" t="str">
        <x:v>自然语言反馈 + pairwise trajectory rankings</x:v>
      </x:c>
      <x:c r="L8" s="26" t="str">
        <x:v>是</x:v>
      </x:c>
      <x:c r="M8" s="26" t="str">
        <x:v>部分</x:v>
      </x:c>
      <x:c r="N8" s="26" t="str">
        <x:v>是：偏好函数分布</x:v>
      </x:c>
      <x:c r="O8" s="26" t="str">
        <x:v>否（重点是偏好不确定性）</x:v>
      </x:c>
      <x:c r="P8" s="26" t="str">
        <x:v>是：Bayesian active preference learning 下游规划</x:v>
      </x:c>
      <x:c r="Q8" s="26" t="str">
        <x:v>是（含 OSM 路线 benchmark）</x:v>
      </x:c>
      <x:c r="R8" s="26" t="str">
        <x:v>否</x:v>
      </x:c>
      <x:c r="S8" s="26" t="str">
        <x:v>2个 benchmark，其中一个是真实 OSM vehicle route planning</x:v>
      </x:c>
      <x:c r="T8" s="26" t="str">
        <x:v>LLM 引导 Bayesian active preference learning，以主动提问减少偏好不确定性。</x:v>
      </x:c>
      <x:c r="U8" s="26" t="str">
        <x:v>说明“从自然语言学习路线偏好函数”本身已有成熟工作。</x:v>
      </x:c>
      <x:c r="V8" s="26" t="str">
        <x:v>你可聚焦单轮隐式 utterance 的稳定 grounding，而非交互式 preference learning。</x:v>
      </x:c>
      <x:c r="W8" s="26" t="str">
        <x:v>不要声称“首次让 LLM 学习 route preference”。</x:v>
      </x:c>
      <x:c r="X8" s="26" t="str">
        <x:v>https://ojs.aaai.org/index.php/AAAI/article/view/34964</x:v>
      </x:c>
      <x:c r="Y8" s="26" t="str">
        <x:v>正式顶会；路线偏好学习背景必引。</x:v>
      </x:c>
    </x:row>
    <x:row r="9" ht="52" customHeight="1">
      <x:c r="A9" s="26" t="n">
        <x:v>5</x:v>
      </x:c>
      <x:c r="B9" s="26" t="str">
        <x:v>A 直接撞题</x:v>
      </x:c>
      <x:c r="C9" s="26" t="n">
        <x:v>4</x:v>
      </x:c>
      <x:c r="D9" s="26" t="str">
        <x:v>必引</x:v>
      </x:c>
      <x:c r="E9" s="26" t="str">
        <x:v>Personal Travel Solver: A Preference-Driven LLM-Solver System for Travel Planning</x:v>
      </x:c>
      <x:c r="F9" s="26" t="str">
        <x:v>PTS</x:v>
      </x:c>
      <x:c r="G9" s="26" t="str">
        <x:v>Zijian Shao; Jiancan Wu; Weijian Chen; Xiang Wang</x:v>
      </x:c>
      <x:c r="H9" s="26" t="n">
        <x:v>2025</x:v>
      </x:c>
      <x:c r="I9" s="26" t="str">
        <x:v>ACL 2025 Long Paper</x:v>
      </x:c>
      <x:c r="J9" s="26" t="str">
        <x:v>个性化旅行规划</x:v>
      </x:c>
      <x:c r="K9" s="26" t="str">
        <x:v>显式约束 + 用户 review history 中的隐式偏好</x:v>
      </x:c>
      <x:c r="L9" s="26" t="str">
        <x:v>是</x:v>
      </x:c>
      <x:c r="M9" s="26" t="str">
        <x:v>否（隐式偏好主要来自历史）</x:v>
      </x:c>
      <x:c r="N9" s="26" t="str">
        <x:v>是：NL→JSON + preference encoding</x:v>
      </x:c>
      <x:c r="O9" s="26" t="str">
        <x:v>是：显式约束 vs 隐式偏好</x:v>
      </x:c>
      <x:c r="P9" s="26" t="str">
        <x:v>是：SCIP solver</x:v>
      </x:c>
      <x:c r="Q9" s="26" t="str">
        <x:v>否（旅行 itinerary）</x:v>
      </x:c>
      <x:c r="R9" s="26" t="str">
        <x:v>否</x:v>
      </x:c>
      <x:c r="S9" s="26" t="str">
        <x:v>RealTravel：TravelPlanner + Google Local reviews/POI metadata</x:v>
      </x:c>
      <x:c r="T9" s="26" t="str">
        <x:v>融合 LLM 与数值求解器，同时满足显式约束并建模隐式用户偏好。</x:v>
      </x:c>
      <x:c r="U9" s="26" t="str">
        <x:v>“implicit preference + structured translator + solver”与项目框架强相关。</x:v>
      </x:c>
      <x:c r="V9" s="26" t="str">
        <x:v>关键差异：你的 implicitness 来自单次 utterance 的语用表达，而不是历史 review/profile。</x:v>
      </x:c>
      <x:c r="W9" s="26" t="str">
        <x:v>论文必须把“utterance-level implicit preference”与“history-based personalization”分开。</x:v>
      </x:c>
      <x:c r="X9" s="26" t="str">
        <x:v>https://aclanthology.org/2025.acl-long.1339/</x:v>
      </x:c>
      <x:c r="Y9" s="26" t="str">
        <x:v>正式 ACL 长文，Related Work 核心。</x:v>
      </x:c>
    </x:row>
    <x:row r="10" ht="52" customHeight="1">
      <x:c r="A10" s="26" t="n">
        <x:v>6</x:v>
      </x:c>
      <x:c r="B10" s="26" t="str">
        <x:v>C 背景基准</x:v>
      </x:c>
      <x:c r="C10" s="26" t="n">
        <x:v>2</x:v>
      </x:c>
      <x:c r="D10" s="26" t="str">
        <x:v>必引</x:v>
      </x:c>
      <x:c r="E10" s="26" t="str">
        <x:v>TravelPlanner: A Benchmark for Real-World Planning with Language Agents</x:v>
      </x:c>
      <x:c r="F10" s="26" t="str">
        <x:v>TravelPlanner</x:v>
      </x:c>
      <x:c r="G10" s="26" t="str">
        <x:v>Jian Xie; Kai Zhang; Jiangjie Chen; Tinghui Zhu; Renze Lou; Yuandong Tian; Yanghua Xiao; Yu Su</x:v>
      </x:c>
      <x:c r="H10" s="26" t="n">
        <x:v>2024</x:v>
      </x:c>
      <x:c r="I10" s="26" t="str">
        <x:v>ICML 2024</x:v>
      </x:c>
      <x:c r="J10" s="26" t="str">
        <x:v>真实旅行规划 benchmark</x:v>
      </x:c>
      <x:c r="K10" s="26" t="str">
        <x:v>自然语言 itinerary intent + 多约束</x:v>
      </x:c>
      <x:c r="L10" s="26" t="str">
        <x:v>有限</x:v>
      </x:c>
      <x:c r="M10" s="26" t="str">
        <x:v>是</x:v>
      </x:c>
      <x:c r="N10" s="26" t="str">
        <x:v>有参考计划/结构化环境，但非偏好向量</x:v>
      </x:c>
      <x:c r="O10" s="26" t="str">
        <x:v>偏约束满足</x:v>
      </x:c>
      <x:c r="P10" s="26" t="str">
        <x:v>工具/环境执行</x:v>
      </x:c>
      <x:c r="Q10" s="26" t="str">
        <x:v>否</x:v>
      </x:c>
      <x:c r="R10" s="26" t="str">
        <x:v>否</x:v>
      </x:c>
      <x:c r="S10" s="26" t="str">
        <x:v>1,225 curated intents；近400万数据记录</x:v>
      </x:c>
      <x:c r="T10" s="26" t="str">
        <x:v>建立复杂现实旅行规划 benchmark，突出多约束、工具调用与长程规划困难。</x:v>
      </x:c>
      <x:c r="U10" s="26" t="str">
        <x:v>不是路线级 grounding，但奠定旅行规划 benchmark 与 constraint evaluation 语境。</x:v>
      </x:c>
      <x:c r="V10" s="26" t="str">
        <x:v>你的 benchmark 可更小、更可控，专门隔离 language grounding robustness。</x:v>
      </x:c>
      <x:c r="W10" s="26" t="str">
        <x:v>作为 benchmark lineage 必引，不构成直接撞题。</x:v>
      </x:c>
      <x:c r="X10" s="26" t="str">
        <x:v>https://proceedings.mlr.press/v235/xie24j.html</x:v>
      </x:c>
      <x:c r="Y10" s="26" t="str">
        <x:v>ICML 正式论文。</x:v>
      </x:c>
    </x:row>
    <x:row r="11" ht="52" customHeight="1">
      <x:c r="A11" s="26" t="n">
        <x:v>7</x:v>
      </x:c>
      <x:c r="B11" s="26" t="str">
        <x:v>B 强相关</x:v>
      </x:c>
      <x:c r="C11" s="26" t="n">
        <x:v>3</x:v>
      </x:c>
      <x:c r="D11" s="26" t="str">
        <x:v>强烈建议</x:v>
      </x:c>
      <x:c r="E11" s="26" t="str">
        <x:v>Personal Large Language Model Agents: A Case Study on Tailored Travel Planning</x:v>
      </x:c>
      <x:c r="F11" s="26" t="str">
        <x:v>TravelPlanner+</x:v>
      </x:c>
      <x:c r="G11" s="26" t="str">
        <x:v>Harmanpreet Singh; Nikhil Verma; Yixiao Wang; Manasa Bharadwaj; Homa Fashandi; Kevin Ferreira; Chul Lee</x:v>
      </x:c>
      <x:c r="H11" s="26" t="n">
        <x:v>2024</x:v>
      </x:c>
      <x:c r="I11" s="26" t="str">
        <x:v>EMNLP 2024 Industry Track</x:v>
      </x:c>
      <x:c r="J11" s="26" t="str">
        <x:v>个性化旅行规划</x:v>
      </x:c>
      <x:c r="K11" s="26" t="str">
        <x:v>用户模型：偏好、个人概念、profile 信息</x:v>
      </x:c>
      <x:c r="L11" s="26" t="str">
        <x:v>是</x:v>
      </x:c>
      <x:c r="M11" s="26" t="str">
        <x:v>否</x:v>
      </x:c>
      <x:c r="N11" s="26" t="str">
        <x:v>用户模型/记忆</x:v>
      </x:c>
      <x:c r="O11" s="26" t="str">
        <x:v>否</x:v>
      </x:c>
      <x:c r="P11" s="26" t="str">
        <x:v>LLM agent 规划</x:v>
      </x:c>
      <x:c r="Q11" s="26" t="str">
        <x:v>否</x:v>
      </x:c>
      <x:c r="R11" s="26" t="str">
        <x:v>否</x:v>
      </x:c>
      <x:c r="S11" s="26" t="str">
        <x:v>TravelPlanner 的个性化扩展</x:v>
      </x:c>
      <x:c r="T11" s="26" t="str">
        <x:v>研究 user model 如何影响 LLM agent 的个性化规划与推理。</x:v>
      </x:c>
      <x:c r="U11" s="26" t="str">
        <x:v>覆盖 personalization，但不是单次隐式语言 grounding。</x:v>
      </x:c>
      <x:c r="V11" s="26" t="str">
        <x:v>可用于界定“long-term profile preference”与“utterance-level implicit preference”的差异。</x:v>
      </x:c>
      <x:c r="W11" s="26" t="str">
        <x:v>属于 personalization 背景，不是主要 novelty threat。</x:v>
      </x:c>
      <x:c r="X11" s="26" t="str">
        <x:v>https://aclanthology.org/2024.emnlp-industry.37/</x:v>
      </x:c>
      <x:c r="Y11" s="26" t="str">
        <x:v>正式同行评审。</x:v>
      </x:c>
    </x:row>
    <x:row r="12" ht="52" customHeight="1">
      <x:c r="A12" s="26" t="n">
        <x:v>8</x:v>
      </x:c>
      <x:c r="B12" s="26" t="str">
        <x:v>B 强相关</x:v>
      </x:c>
      <x:c r="C12" s="26" t="n">
        <x:v>3</x:v>
      </x:c>
      <x:c r="D12" s="26" t="str">
        <x:v>强烈建议</x:v>
      </x:c>
      <x:c r="E12" s="26" t="str">
        <x:v>TravelAgent: An AI Assistant for Personalized Travel Planning</x:v>
      </x:c>
      <x:c r="F12" s="26" t="str">
        <x:v>TravelAgent</x:v>
      </x:c>
      <x:c r="G12" s="26" t="str">
        <x:v>Aili Chen; Xuyang Ge; Ziquan Fu; Yanghua Xiao; Jiangjie Chen</x:v>
      </x:c>
      <x:c r="H12" s="26" t="n">
        <x:v>2024</x:v>
      </x:c>
      <x:c r="I12" s="26" t="str">
        <x:v>arXiv preprint</x:v>
      </x:c>
      <x:c r="J12" s="26" t="str">
        <x:v>旅行规划 agent</x:v>
      </x:c>
      <x:c r="K12" s="26" t="str">
        <x:v>显式用户输入 + Memory 中挖掘的偏好/属性</x:v>
      </x:c>
      <x:c r="L12" s="26" t="str">
        <x:v>是</x:v>
      </x:c>
      <x:c r="M12" s="26" t="str">
        <x:v>部分</x:v>
      </x:c>
      <x:c r="N12" s="26" t="str">
        <x:v>有约束模型/用户画像</x:v>
      </x:c>
      <x:c r="O12" s="26" t="str">
        <x:v>是：论文区分 personal hard/soft constraints</x:v>
      </x:c>
      <x:c r="P12" s="26" t="str">
        <x:v>LLM agent + tools</x:v>
      </x:c>
      <x:c r="Q12" s="26" t="str">
        <x:v>否</x:v>
      </x:c>
      <x:c r="R12" s="26" t="str">
        <x:v>否</x:v>
      </x:c>
      <x:c r="S12" s="26" t="str">
        <x:v>人类与模拟用户评估</x:v>
      </x:c>
      <x:c r="T12" s="26" t="str">
        <x:v>Tool-usage、Recommendation、Planning、Memory 四模块，强调 rationality / comprehensiveness / personalization。</x:v>
      </x:c>
      <x:c r="U12" s="26" t="str">
        <x:v>与 hard/soft personal constraints 和 personalization 表达相关。</x:v>
      </x:c>
      <x:c r="V12" s="26" t="str">
        <x:v>你的工作需强调可验证的 route-level grounding + 语言等价稳定性。</x:v>
      </x:c>
      <x:c r="W12" s="26" t="str">
        <x:v>Hard/soft 概念并非 RouteLLM 才出现，2024 旅行 agent 已经在使用。</x:v>
      </x:c>
      <x:c r="X12" s="26" t="str">
        <x:v>https://arxiv.org/abs/2409.08069</x:v>
      </x:c>
      <x:c r="Y12" s="26" t="str">
        <x:v>强相关但非路线级。</x:v>
      </x:c>
    </x:row>
    <x:row r="13" ht="52" customHeight="1">
      <x:c r="A13" s="26" t="n">
        <x:v>9</x:v>
      </x:c>
      <x:c r="B13" s="26" t="str">
        <x:v>A 直接撞题</x:v>
      </x:c>
      <x:c r="C13" s="26" t="n">
        <x:v>4</x:v>
      </x:c>
      <x:c r="D13" s="26" t="str">
        <x:v>必引</x:v>
      </x:c>
      <x:c r="E13" s="26" t="str">
        <x:v>Large Language Models Can Solve Real-World Planning Rigorously with Formal Verification Tools</x:v>
      </x:c>
      <x:c r="F13" s="26" t="str">
        <x:v>Formal Travel Planner</x:v>
      </x:c>
      <x:c r="G13" s="26" t="str">
        <x:v>Yilun Hao; Yongchao Chen; Yang Zhang; Chuchu Fan</x:v>
      </x:c>
      <x:c r="H13" s="26" t="n">
        <x:v>2025</x:v>
      </x:c>
      <x:c r="I13" s="26" t="str">
        <x:v>NAACL 2025 Long Paper</x:v>
      </x:c>
      <x:c r="J13" s="26" t="str">
        <x:v>旅行规划 / 形式化约束求解</x:v>
      </x:c>
      <x:c r="K13" s="26" t="str">
        <x:v>自然语言多约束旅行请求</x:v>
      </x:c>
      <x:c r="L13" s="26" t="str">
        <x:v>有限</x:v>
      </x:c>
      <x:c r="M13" s="26" t="str">
        <x:v>是</x:v>
      </x:c>
      <x:c r="N13" s="26" t="str">
        <x:v>是：形式化 CSP</x:v>
      </x:c>
      <x:c r="O13" s="26" t="str">
        <x:v>以硬约束为主</x:v>
      </x:c>
      <x:c r="P13" s="26" t="str">
        <x:v>是：sound/complete satisfiability solvers</x:v>
      </x:c>
      <x:c r="Q13" s="26" t="str">
        <x:v>否</x:v>
      </x:c>
      <x:c r="R13" s="26" t="str">
        <x:v>是：报告对 diverse paraphrased prompts 有效</x:v>
      </x:c>
      <x:c r="S13" s="26" t="str">
        <x:v>TravelPlanner + unseen international travel + unsat datasets</x:v>
      </x:c>
      <x:c r="T13" s="26" t="str">
        <x:v>LLM 将复杂 NL 规划问题形式化为 CSP，再由形式化求解器保证可行性；还处理不可满足核心。</x:v>
      </x:c>
      <x:c r="U13" s="26" t="str">
        <x:v>严重削弱“NL→formalization→solver”创新；并且已经做过 paraphrased prompts 的稳健性测试。</x:v>
      </x:c>
      <x:c r="V13" s="26" t="str">
        <x:v>仍可做：专门针对隐式 route preference 的 controlled semantic-equivalence benchmark，以及 preference-vector/route-decision 双层一致性。</x:v>
      </x:c>
      <x:c r="W13" s="26" t="str">
        <x:v>这是 robustness pivot 里最需要正面对照的论文，不能只引用 RouteLLM/LLMAP。</x:v>
      </x:c>
      <x:c r="X13" s="26" t="str">
        <x:v>https://aclanthology.org/2025.naacl-long.176/</x:v>
      </x:c>
      <x:c r="Y13" s="26" t="str">
        <x:v>正式长文；对新题目构成高威胁。</x:v>
      </x:c>
    </x:row>
    <x:row r="14" ht="52" customHeight="1">
      <x:c r="A14" s="26" t="n">
        <x:v>10</x:v>
      </x:c>
      <x:c r="B14" s="26" t="str">
        <x:v>C 方法基础</x:v>
      </x:c>
      <x:c r="C14" s="26" t="n">
        <x:v>3</x:v>
      </x:c>
      <x:c r="D14" s="26" t="str">
        <x:v>强烈建议</x:v>
      </x:c>
      <x:c r="E14" s="26" t="str">
        <x:v>Planning Anything with Rigor: General-Purpose Zero-Shot Planning with LLM-Based Formalized Programming</x:v>
      </x:c>
      <x:c r="F14" s="26" t="str">
        <x:v>LLMFP</x:v>
      </x:c>
      <x:c r="G14" s="26" t="str">
        <x:v>Yilun Hao; Yang Zhang; Chuchu Fan</x:v>
      </x:c>
      <x:c r="H14" s="26" t="n">
        <x:v>2025</x:v>
      </x:c>
      <x:c r="I14" s="26" t="str">
        <x:v>ICLR 2025</x:v>
      </x:c>
      <x:c r="J14" s="26" t="str">
        <x:v>通用规划 / 优化形式化</x:v>
      </x:c>
      <x:c r="K14" s="26" t="str">
        <x:v>自然语言规划问题</x:v>
      </x:c>
      <x:c r="L14" s="26" t="str">
        <x:v>否/不特定</x:v>
      </x:c>
      <x:c r="M14" s="26" t="str">
        <x:v>是</x:v>
      </x:c>
      <x:c r="N14" s="26" t="str">
        <x:v>是：变量、约束、目标→optimization formulation</x:v>
      </x:c>
      <x:c r="O14" s="26" t="str">
        <x:v>以约束/目标为核心</x:v>
      </x:c>
      <x:c r="P14" s="26" t="str">
        <x:v>是：optimization solver</x:v>
      </x:c>
      <x:c r="Q14" s="26" t="str">
        <x:v>否</x:v>
      </x:c>
      <x:c r="R14" s="26" t="str">
        <x:v>非核心</x:v>
      </x:c>
      <x:c r="S14" s="26" t="str">
        <x:v>9类规划问题</x:v>
      </x:c>
      <x:c r="T14" s="26" t="str">
        <x:v>通用零样本框架把自然语言规划问题形式化成优化问题后调用 solver。</x:v>
      </x:c>
      <x:c r="U14" s="26" t="str">
        <x:v>覆盖“Language Space→Optimization Space”的一般范式。</x:v>
      </x:c>
      <x:c r="V14" s="26" t="str">
        <x:v>项目需体现 domain-specific scientific question，而不是泛化的 NL→optimization 接口。</x:v>
      </x:c>
      <x:c r="W14" s="26" t="str">
        <x:v>可作为理论/方法上游 reference。</x:v>
      </x:c>
      <x:c r="X14" s="26" t="str">
        <x:v>https://arxiv.org/abs/2410.12112</x:v>
      </x:c>
      <x:c r="Y14" s="26" t="str">
        <x:v>ICLR 2025 正式论文。</x:v>
      </x:c>
    </x:row>
    <x:row r="15" ht="52" customHeight="1">
      <x:c r="A15" s="26" t="n">
        <x:v>11</x:v>
      </x:c>
      <x:c r="B15" s="26" t="str">
        <x:v>B 强相关</x:v>
      </x:c>
      <x:c r="C15" s="26" t="n">
        <x:v>3</x:v>
      </x:c>
      <x:c r="D15" s="26" t="str">
        <x:v>强烈建议</x:v>
      </x:c>
      <x:c r="E15" s="26" t="str">
        <x:v>COMPASS: A Multi-Turn Benchmark for Tool-Mediated Planning &amp; Preference Optimization</x:v>
      </x:c>
      <x:c r="F15" s="26" t="str">
        <x:v>COMPASS</x:v>
      </x:c>
      <x:c r="G15" s="26" t="str">
        <x:v>Tian Qin; Felix Bai; Ting-Yao Hu; Raviteja Vemulapalli; Hema Swetha Koppula; Zhiyang Xu; Bowen Jin; Mert Cemri; Jiarui Lu; Zirui Wang; Meng Cao</x:v>
      </x:c>
      <x:c r="H15" s="26" t="n">
        <x:v>2025</x:v>
      </x:c>
      <x:c r="I15" s="26" t="str">
        <x:v>arXiv / Apple ML Research</x:v>
      </x:c>
      <x:c r="J15" s="26" t="str">
        <x:v>多轮旅行规划 benchmark</x:v>
      </x:c>
      <x:c r="K15" s="26" t="str">
        <x:v>多轮交互中的 hard constraints + soft preferences</x:v>
      </x:c>
      <x:c r="L15" s="26" t="str">
        <x:v>混合</x:v>
      </x:c>
      <x:c r="M15" s="26" t="str">
        <x:v>否（多轮）</x:v>
      </x:c>
      <x:c r="N15" s="26" t="str">
        <x:v>以约束/偏好评价为主</x:v>
      </x:c>
      <x:c r="O15" s="26" t="str">
        <x:v>是：明确 hard constraints / soft preferences</x:v>
      </x:c>
      <x:c r="P15" s="26" t="str">
        <x:v>工具系统/规划 agent</x:v>
      </x:c>
      <x:c r="Q15" s="26" t="str">
        <x:v>否</x:v>
      </x:c>
      <x:c r="R15" s="26" t="str">
        <x:v>否</x:v>
      </x:c>
      <x:c r="S15" s="26" t="str">
        <x:v>20个美国国家公园的交通/住宿/票务数据库</x:v>
      </x:c>
      <x:c r="T15" s="26" t="str">
        <x:v>把旅行规划定义为 constrained preference optimization，并揭示 feasible 与 optimal 之间的 gap。</x:v>
      </x:c>
      <x:c r="U15" s="26" t="str">
        <x:v>对 soft/hard preference distinction 与评价指标构成先例。</x:v>
      </x:c>
      <x:c r="V15" s="26" t="str">
        <x:v>你的 gap 可落在语言表达不变性 + route-level downstream regret，而非 preference optimization 本身。</x:v>
      </x:c>
      <x:c r="W15" s="26" t="str">
        <x:v>用于说明“满足约束≠偏好最优”。</x:v>
      </x:c>
      <x:c r="X15" s="26" t="str">
        <x:v>https://arxiv.org/abs/2510.07043</x:v>
      </x:c>
      <x:c r="Y15" s="26" t="str">
        <x:v>当前为预印本/研究发布。</x:v>
      </x:c>
    </x:row>
    <x:row r="16" ht="52" customHeight="1">
      <x:c r="A16" s="26" t="n">
        <x:v>12</x:v>
      </x:c>
      <x:c r="B16" s="26" t="str">
        <x:v>A 直接撞题</x:v>
      </x:c>
      <x:c r="C16" s="26" t="n">
        <x:v>4</x:v>
      </x:c>
      <x:c r="D16" s="26" t="str">
        <x:v>必引</x:v>
      </x:c>
      <x:c r="E16" s="26" t="str">
        <x:v>LAPPI: Interactive Optimization With LLM-Assisted Preference-Based Problem Instantiation</x:v>
      </x:c>
      <x:c r="F16" s="26" t="str">
        <x:v>LAPPI</x:v>
      </x:c>
      <x:c r="G16" s="26" t="str">
        <x:v>So Kuroki; Manami Nakagawa; Shigeo Yoshida; Yuki Koyama; Tadashi Kozuno</x:v>
      </x:c>
      <x:c r="H16" s="26" t="n">
        <x:v>2026</x:v>
      </x:c>
      <x:c r="I16" s="26" t="str">
        <x:v>IEEE Access 2026</x:v>
      </x:c>
      <x:c r="J16" s="26" t="str">
        <x:v>交互式优化 / trip &amp; meal planning</x:v>
      </x:c>
      <x:c r="K16" s="26" t="str">
        <x:v>自然语言中的模糊偏好</x:v>
      </x:c>
      <x:c r="L16" s="26" t="str">
        <x:v>是</x:v>
      </x:c>
      <x:c r="M16" s="26" t="str">
        <x:v>是/多轮</x:v>
      </x:c>
      <x:c r="N16" s="26" t="str">
        <x:v>是：候选、preference scores、constraints</x:v>
      </x:c>
      <x:c r="O16" s="26" t="str">
        <x:v>是：constraints + preference scores</x:v>
      </x:c>
      <x:c r="P16" s="26" t="str">
        <x:v>是：既有优化 solver</x:v>
      </x:c>
      <x:c r="Q16" s="26" t="str">
        <x:v>否（含 trip planning）</x:v>
      </x:c>
      <x:c r="R16" s="26" t="str">
        <x:v>非核心</x:v>
      </x:c>
      <x:c r="S16" s="26" t="str">
        <x:v>用户研究 + trip planning / meal planning</x:v>
      </x:c>
      <x:c r="T16" s="26" t="str">
        <x:v>把 vague NL preferences 转成 solver-ready optimization problem，并通过交互完善 problem instantiation。</x:v>
      </x:c>
      <x:c r="U16" s="26" t="str">
        <x:v>强烈覆盖“隐式/模糊偏好→结构化 preference/constraints→solver”。</x:v>
      </x:c>
      <x:c r="V16" s="26" t="str">
        <x:v>你的差异必须是 route-specific、controlled implicit utterance、semantic invariance 与决策级 robustness。</x:v>
      </x:c>
      <x:c r="W16" s="26" t="str">
        <x:v>Structured grounding 不能单独作为贡献。</x:v>
      </x:c>
      <x:c r="X16" s="26" t="str">
        <x:v>https://omron-sinicx.github.io/lappi/</x:v>
      </x:c>
      <x:c r="Y16" s="26" t="str">
        <x:v>IEEE Access 正式文章。</x:v>
      </x:c>
    </x:row>
    <x:row r="17" ht="52" customHeight="1">
      <x:c r="A17" s="26" t="n">
        <x:v>13</x:v>
      </x:c>
      <x:c r="B17" s="26" t="str">
        <x:v>C 方法基础</x:v>
      </x:c>
      <x:c r="C17" s="26" t="n">
        <x:v>3</x:v>
      </x:c>
      <x:c r="D17" s="26" t="str">
        <x:v>强烈建议</x:v>
      </x:c>
      <x:c r="E17" s="26" t="str">
        <x:v>APRICOT: Active Preference Learning and Constraint-Aware Task Planning with LLMs</x:v>
      </x:c>
      <x:c r="F17" s="26" t="str">
        <x:v>APRICOT</x:v>
      </x:c>
      <x:c r="G17" s="26" t="str">
        <x:v>Huaxiaoyue Wang; Nathaniel Chin; Gonzalo Gonzalez-Pumariega; Xiangwan Sun; Neha Sunkara; Maximus Adrian Pace; Jeannette Bohg; Sanjiban Choudhury</x:v>
      </x:c>
      <x:c r="H17" s="26" t="n">
        <x:v>2024</x:v>
      </x:c>
      <x:c r="I17" s="26" t="str">
        <x:v>CoRL 2024 (PMLR 2025)</x:v>
      </x:c>
      <x:c r="J17" s="26" t="str">
        <x:v>机器人任务规划 / 偏好学习</x:v>
      </x:c>
      <x:c r="K17" s="26" t="str">
        <x:v>用户 demonstrations + 主动提问</x:v>
      </x:c>
      <x:c r="L17" s="26" t="str">
        <x:v>是</x:v>
      </x:c>
      <x:c r="M17" s="26" t="str">
        <x:v>否</x:v>
      </x:c>
      <x:c r="N17" s="26" t="str">
        <x:v>是：候选 preference hypotheses / posterior</x:v>
      </x:c>
      <x:c r="O17" s="26" t="str">
        <x:v>偏好 vs 环境约束</x:v>
      </x:c>
      <x:c r="P17" s="26" t="str">
        <x:v>是：constraint-aware task planning</x:v>
      </x:c>
      <x:c r="Q17" s="26" t="str">
        <x:v>否</x:v>
      </x:c>
      <x:c r="R17" s="26" t="str">
        <x:v>否</x:v>
      </x:c>
      <x:c r="S17" s="26" t="str">
        <x:v>组织任务 benchmark + real robot</x:v>
      </x:c>
      <x:c r="T17" s="26" t="str">
        <x:v>LLM + Bayesian active preference learning，在偏好不确定性与环境约束冲突下主动澄清。</x:v>
      </x:c>
      <x:c r="U17" s="26" t="str">
        <x:v>说明 preference grounding 的 ambiguity/uncertainty 已被严肃研究。</x:v>
      </x:c>
      <x:c r="V17" s="26" t="str">
        <x:v>可把 conflicting/ambiguous expressions 设计为 uncertainty/clarification 扩展点，而非只做固定预测。</x:v>
      </x:c>
      <x:c r="W17" s="26" t="str">
        <x:v>如果后续加入“何时应该追问用户”，这篇会非常关键。</x:v>
      </x:c>
      <x:c r="X17" s="26" t="str">
        <x:v>https://proceedings.mlr.press/v270/wang25e.html</x:v>
      </x:c>
      <x:c r="Y17" s="26" t="str">
        <x:v>CoRL 正式论文。</x:v>
      </x:c>
    </x:row>
    <x:row r="18" ht="52" customHeight="1">
      <x:c r="A18" s="26" t="n">
        <x:v>14</x:v>
      </x:c>
      <x:c r="B18" s="26" t="str">
        <x:v>A 直接撞题</x:v>
      </x:c>
      <x:c r="C18" s="26" t="n">
        <x:v>4</x:v>
      </x:c>
      <x:c r="D18" s="26" t="str">
        <x:v>必引</x:v>
      </x:c>
      <x:c r="E18" s="26" t="str">
        <x:v>Who Responds When the Driver Is Gone? A Framework for Human Intent Understanding</x:v>
      </x:c>
      <x:c r="F18" s="26" t="str">
        <x:v>Intent2Drive</x:v>
      </x:c>
      <x:c r="G18" s="26" t="str">
        <x:v>Xuewen Luo; Ding Fan; Ruiqi Chen; Ye Cao; Xiujin Liu; Bo Yu; Fengze Yang; Chenxi Liu</x:v>
      </x:c>
      <x:c r="H18" s="26" t="n">
        <x:v>2026</x:v>
      </x:c>
      <x:c r="I18" s="26" t="str">
        <x:v>arXiv preprint</x:v>
      </x:c>
      <x:c r="J18" s="26" t="str">
        <x:v>自动驾驶 / 乘员意图 / route+trajectory planning</x:v>
      </x:c>
      <x:c r="K18" s="26" t="str">
        <x:v>显式语言 + 隐式 cues + 个人属性/情绪/身体/情境</x:v>
      </x:c>
      <x:c r="L18" s="26" t="str">
        <x:v>是</x:v>
      </x:c>
      <x:c r="M18" s="26" t="str">
        <x:v>混合</x:v>
      </x:c>
      <x:c r="N18" s="26" t="str">
        <x:v>是：Latent Human State → planner-compatible Human Intent Objective</x:v>
      </x:c>
      <x:c r="O18" s="26" t="str">
        <x:v>偏好/风险/紧迫度等结构化</x:v>
      </x:c>
      <x:c r="P18" s="26" t="str">
        <x:v>是：hierarchical intent-conditioned planner</x:v>
      </x:c>
      <x:c r="Q18" s="26" t="str">
        <x:v>是（route-level + trajectory-level）</x:v>
      </x:c>
      <x:c r="R18" s="26" t="str">
        <x:v>未以 paraphrase robustness 为核心</x:v>
      </x:c>
      <x:c r="S18" s="26" t="str">
        <x:v>Holistic Intent Dataset；结构化显式/隐式 supervision</x:v>
      </x:c>
      <x:c r="T18" s="26" t="str">
        <x:v>把显式与隐式乘员意图转成 planner-compatible objective，并作用于 route/trajectory 两层。</x:v>
      </x:c>
      <x:c r="U18" s="26" t="str">
        <x:v>直接威胁“implicit human intent→planner-compatible driving objective”的大叙事。</x:v>
      </x:c>
      <x:c r="V18" s="26" t="str">
        <x:v>小论文可聚焦窄问题：route-preference linguistic invariance；避免声称首次 implicit intent grounding for driving。</x:v>
      </x:c>
      <x:c r="W18" s="26" t="str">
        <x:v>对毕业论文大框架威胁高，对当前 robustness 小题仍有空间。</x:v>
      </x:c>
      <x:c r="X18" s="26" t="str">
        <x:v>https://arxiv.org/abs/2607.04670</x:v>
      </x:c>
      <x:c r="Y18" s="26" t="str">
        <x:v>2026 最新工作，必须跟踪版本。</x:v>
      </x:c>
    </x:row>
    <x:row r="19" ht="52" customHeight="1">
      <x:c r="A19" s="26" t="n">
        <x:v>15</x:v>
      </x:c>
      <x:c r="B19" s="26" t="str">
        <x:v>D Robustness</x:v>
      </x:c>
      <x:c r="C19" s="26" t="n">
        <x:v>3</x:v>
      </x:c>
      <x:c r="D19" s="26" t="str">
        <x:v>必引</x:v>
      </x:c>
      <x:c r="E19" s="26" t="str">
        <x:v>Measuring LLMs’ Sensitivity to Paraphrased Opinion Prompts</x:v>
      </x:c>
      <x:c r="F19" s="26" t="str">
        <x:v>WASSA Paraphrase</x:v>
      </x:c>
      <x:c r="G19" s="26" t="str">
        <x:v>Bushra Alhetelah; Irfan Ahmad</x:v>
      </x:c>
      <x:c r="H19" s="26" t="n">
        <x:v>2026</x:v>
      </x:c>
      <x:c r="I19" s="26" t="str">
        <x:v>WASSA 2026</x:v>
      </x:c>
      <x:c r="J19" s="26" t="str">
        <x:v>LLM paraphrase robustness</x:v>
      </x:c>
      <x:c r="K19" s="26" t="str">
        <x:v>200问题 × 每题5个 human-validated paraphrases</x:v>
      </x:c>
      <x:c r="L19" s="26" t="str">
        <x:v>不适用</x:v>
      </x:c>
      <x:c r="M19" s="26" t="str">
        <x:v>是</x:v>
      </x:c>
      <x:c r="N19" s="26" t="str">
        <x:v>固定闭集决策格式</x:v>
      </x:c>
      <x:c r="O19" s="26" t="str">
        <x:v>不适用</x:v>
      </x:c>
      <x:c r="P19" s="26" t="str">
        <x:v>否</x:v>
      </x:c>
      <x:c r="Q19" s="26" t="str">
        <x:v>否</x:v>
      </x:c>
      <x:c r="R19" s="26" t="str">
        <x:v>是：核心贡献</x:v>
      </x:c>
      <x:c r="S19" s="26" t="str">
        <x:v>200 opinion questions，5种改写/题</x:v>
      </x:c>
      <x:c r="T19" s="26" t="str">
        <x:v>系统测试语义等价 paraphrase 下的决策稳定性。</x:v>
      </x:c>
      <x:c r="U19" s="26" t="str">
        <x:v>直接覆盖“换一种说法会不会改变模型判断”这一 robustness 研究范式。</x:v>
      </x:c>
      <x:c r="V19" s="26" t="str">
        <x:v>你的 novelty 必须是 route preference grounding + downstream decision equivalence，而不是泛称 paraphrase robustness。</x:v>
      </x:c>
      <x:c r="W19" s="26" t="str">
        <x:v>可借鉴 consistency/agreement/variability 指标设计。</x:v>
      </x:c>
      <x:c r="X19" s="26" t="str">
        <x:v>https://aclanthology.org/2026.wassa-1.5/</x:v>
      </x:c>
      <x:c r="Y19" s="26" t="str">
        <x:v>正式 workshop 论文。</x:v>
      </x:c>
    </x:row>
    <x:row r="20" ht="52" customHeight="1">
      <x:c r="A20" s="26" t="n">
        <x:v>16</x:v>
      </x:c>
      <x:c r="B20" s="26" t="str">
        <x:v>D Robustness</x:v>
      </x:c>
      <x:c r="C20" s="26" t="n">
        <x:v>3</x:v>
      </x:c>
      <x:c r="D20" s="26" t="str">
        <x:v>强烈建议</x:v>
      </x:c>
      <x:c r="E20" s="26" t="str">
        <x:v>Same Question, Different Words: A Latent Adversarial Framework for Prompt Robustness</x:v>
      </x:c>
      <x:c r="F20" s="26" t="str">
        <x:v>LAP Robustness</x:v>
      </x:c>
      <x:c r="G20" s="26" t="str">
        <x:v>Tingchen Fu; Fazl Barez</x:v>
      </x:c>
      <x:c r="H20" s="26" t="n">
        <x:v>2025</x:v>
      </x:c>
      <x:c r="I20" s="26" t="str">
        <x:v>EMNLP 2025 Main</x:v>
      </x:c>
      <x:c r="J20" s="26" t="str">
        <x:v>LLM prompt robustness</x:v>
      </x:c>
      <x:c r="K20" s="26" t="str">
        <x:v>语义保持的 paraphrases / adversarial paraphrasing</x:v>
      </x:c>
      <x:c r="L20" s="26" t="str">
        <x:v>不适用</x:v>
      </x:c>
      <x:c r="M20" s="26" t="str">
        <x:v>是</x:v>
      </x:c>
      <x:c r="N20" s="26" t="str">
        <x:v>否</x:v>
      </x:c>
      <x:c r="O20" s="26" t="str">
        <x:v>不适用</x:v>
      </x:c>
      <x:c r="P20" s="26" t="str">
        <x:v>否</x:v>
      </x:c>
      <x:c r="Q20" s="26" t="str">
        <x:v>否</x:v>
      </x:c>
      <x:c r="R20" s="26" t="str">
        <x:v>是：核心</x:v>
      </x:c>
      <x:c r="S20" s="26" t="str">
        <x:v>RobustAlpaca 等</x:v>
      </x:c>
      <x:c r="T20" s="26" t="str">
        <x:v>提出 Latent Adversarial Paraphrasing，提高模型对语义保持提示变体的 worst-case robustness。</x:v>
      </x:c>
      <x:c r="U20" s="26" t="str">
        <x:v>说明 paraphrase robustness 已是成熟独立问题。</x:v>
      </x:c>
      <x:c r="V20" s="26" t="str">
        <x:v>你的贡献需要 domain-specific failure taxonomy 与 route-level consequences。</x:v>
      </x:c>
      <x:c r="W20" s="26" t="str">
        <x:v>如果做 robustness enhancement baseline，可考虑借鉴 adversarial paraphrase 生成思路。</x:v>
      </x:c>
      <x:c r="X20" s="26" t="str">
        <x:v>https://aclanthology.org/2025.emnlp-main.1595/</x:v>
      </x:c>
      <x:c r="Y20" s="26" t="str">
        <x:v>EMNLP 主会。</x:v>
      </x:c>
    </x:row>
    <x:row r="21" ht="52" customHeight="1">
      <x:c r="A21" s="26" t="n">
        <x:v>17</x:v>
      </x:c>
      <x:c r="B21" s="26" t="str">
        <x:v>D Robustness</x:v>
      </x:c>
      <x:c r="C21" s="26" t="n">
        <x:v>2</x:v>
      </x:c>
      <x:c r="D21" s="26" t="str">
        <x:v>强烈建议</x:v>
      </x:c>
      <x:c r="E21" s="26" t="str">
        <x:v>All Prompts Are Created Equal? Evaluating Robustness of LLM Judges Against Non-Adversarial Prompt Variations</x:v>
      </x:c>
      <x:c r="F21" s="26" t="str">
        <x:v>ACL Judge Robustness</x:v>
      </x:c>
      <x:c r="G21" s="26" t="str">
        <x:v>Savita Bhat; Vasudeva Varma</x:v>
      </x:c>
      <x:c r="H21" s="26" t="n">
        <x:v>2026</x:v>
      </x:c>
      <x:c r="I21" s="26" t="str">
        <x:v>Findings of ACL 2026</x:v>
      </x:c>
      <x:c r="J21" s="26" t="str">
        <x:v>LLM-as-a-Judge robustness</x:v>
      </x:c>
      <x:c r="K21" s="26" t="str">
        <x:v>4类NLG任务，每 prompt 10个语义等价 paraphrases</x:v>
      </x:c>
      <x:c r="L21" s="26" t="str">
        <x:v>不适用</x:v>
      </x:c>
      <x:c r="M21" s="26" t="str">
        <x:v>是</x:v>
      </x:c>
      <x:c r="N21" s="26" t="str">
        <x:v>固定评价任务</x:v>
      </x:c>
      <x:c r="O21" s="26" t="str">
        <x:v>不适用</x:v>
      </x:c>
      <x:c r="P21" s="26" t="str">
        <x:v>否</x:v>
      </x:c>
      <x:c r="Q21" s="26" t="str">
        <x:v>否</x:v>
      </x:c>
      <x:c r="R21" s="26" t="str">
        <x:v>是：核心</x:v>
      </x:c>
      <x:c r="S21" s="26" t="str">
        <x:v>~115,000 evaluations</x:v>
      </x:c>
      <x:c r="T21" s="26" t="str">
        <x:v>系统分析非对抗性语义等价 prompt variation 对 judge accuracy/robustness 的影响。</x:v>
      </x:c>
      <x:c r="U21" s="26" t="str">
        <x:v>不直接撞 route，但说明单纯 consistency 指标不够，需结合 accuracy 与可验证性。</x:v>
      </x:c>
      <x:c r="V21" s="26" t="str">
        <x:v>你可以做 grounding accuracy–robustness 二维评估，避免只报告 consistency。</x:v>
      </x:c>
      <x:c r="W21" s="26" t="str">
        <x:v>可借鉴 accuracy-robustness gap 的表述。</x:v>
      </x:c>
      <x:c r="X21" s="26" t="str">
        <x:v>https://aclanthology.org/2026.findings-acl.1929/</x:v>
      </x:c>
      <x:c r="Y21" s="26" t="str">
        <x:v>正式 Findings。</x:v>
      </x:c>
    </x:row>
    <x:row r="22" ht="52" customHeight="1">
      <x:c r="A22" s="26" t="n">
        <x:v>18</x:v>
      </x:c>
      <x:c r="B22" s="26" t="str">
        <x:v>D Robustness</x:v>
      </x:c>
      <x:c r="C22" s="26" t="n">
        <x:v>3</x:v>
      </x:c>
      <x:c r="D22" s="26" t="str">
        <x:v>强烈建议</x:v>
      </x:c>
      <x:c r="E22" s="26" t="str">
        <x:v>LIBERO-Para: A Diagnostic Benchmark and Metrics for Paraphrase Robustness in VLA Models</x:v>
      </x:c>
      <x:c r="F22" s="26" t="str">
        <x:v>LIBERO-Para</x:v>
      </x:c>
      <x:c r="G22" s="26" t="str">
        <x:v>Chanyoung Kim; Minwoo Kim; Minseok Kang; Hyunwoo Kim; Dahuin Jung</x:v>
      </x:c>
      <x:c r="H22" s="26" t="n">
        <x:v>2026</x:v>
      </x:c>
      <x:c r="I22" s="26" t="str">
        <x:v>arXiv preprint</x:v>
      </x:c>
      <x:c r="J22" s="26" t="str">
        <x:v>VLA / 机器人 manipulation robustness</x:v>
      </x:c>
      <x:c r="K22" s="26" t="str">
        <x:v>动作表达与物体引用的 controlled paraphrases</x:v>
      </x:c>
      <x:c r="L22" s="26" t="str">
        <x:v>不适用</x:v>
      </x:c>
      <x:c r="M22" s="26" t="str">
        <x:v>是</x:v>
      </x:c>
      <x:c r="N22" s="26" t="str">
        <x:v>任务指令→动作策略</x:v>
      </x:c>
      <x:c r="O22" s="26" t="str">
        <x:v>不适用</x:v>
      </x:c>
      <x:c r="P22" s="26" t="str">
        <x:v>策略执行</x:v>
      </x:c>
      <x:c r="Q22" s="26" t="str">
        <x:v>否</x:v>
      </x:c>
      <x:c r="R22" s="26" t="str">
        <x:v>是：核心</x:v>
      </x:c>
      <x:c r="S22" s="26" t="str">
        <x:v>4,000+ paraphrased manipulation instructions；7种VLA配置</x:v>
      </x:c>
      <x:c r="T22" s="26" t="str">
        <x:v>建立受控 paraphrase benchmark，并区分规划级与执行级失败；提出难度指标。</x:v>
      </x:c>
      <x:c r="U22" s="26" t="str">
        <x:v>与你“语言变化→下游决策/规划变化”的逻辑非常接近，但领域不同。</x:v>
      </x:c>
      <x:c r="V22" s="26" t="str">
        <x:v>可借鉴层级 failure attribution：grounding failure vs route scorer/decision failure。</x:v>
      </x:c>
      <x:c r="W22" s="26" t="str">
        <x:v>非常适合支撑“下游决策等价”作为科学问题，而不是只看文本解析。</x:v>
      </x:c>
      <x:c r="X22" s="26" t="str">
        <x:v>https://arxiv.org/abs/2603.28301</x:v>
      </x:c>
      <x:c r="Y22" s="26" t="str">
        <x:v>预印本；方法启发价值高。</x:v>
      </x:c>
    </x:row>
    <x:row r="23" ht="52" customHeight="1">
      <x:c r="A23" s="26" t="n">
        <x:v>19</x:v>
      </x:c>
      <x:c r="B23" s="26" t="str">
        <x:v>C 方法基础</x:v>
      </x:c>
      <x:c r="C23" s="26" t="n">
        <x:v>2</x:v>
      </x:c>
      <x:c r="D23" s="26" t="str">
        <x:v>建议</x:v>
      </x:c>
      <x:c r="E23" s="26" t="str">
        <x:v>Autoformulation of Mathematical Optimization Models Using LLMs</x:v>
      </x:c>
      <x:c r="F23" s="26" t="str">
        <x:v>Autoformulation</x:v>
      </x:c>
      <x:c r="G23" s="26" t="str">
        <x:v>Nicolás Astorga; Tennison Liu; Yuanzhang Xiao; Mihaela van der Schaar</x:v>
      </x:c>
      <x:c r="H23" s="26" t="n">
        <x:v>2025</x:v>
      </x:c>
      <x:c r="I23" s="26" t="str">
        <x:v>ICML 2025</x:v>
      </x:c>
      <x:c r="J23" s="26" t="str">
        <x:v>自然语言→数学优化建模</x:v>
      </x:c>
      <x:c r="K23" s="26" t="str">
        <x:v>自然语言优化问题描述</x:v>
      </x:c>
      <x:c r="L23" s="26" t="str">
        <x:v>否/不特定</x:v>
      </x:c>
      <x:c r="M23" s="26" t="str">
        <x:v>是</x:v>
      </x:c>
      <x:c r="N23" s="26" t="str">
        <x:v>是：solver-ready optimization formulation</x:v>
      </x:c>
      <x:c r="O23" s="26" t="str">
        <x:v>约束/变量/目标</x:v>
      </x:c>
      <x:c r="P23" s="26" t="str">
        <x:v>是：商业优化 solver</x:v>
      </x:c>
      <x:c r="Q23" s="26" t="str">
        <x:v>否</x:v>
      </x:c>
      <x:c r="R23" s="26" t="str">
        <x:v>否</x:v>
      </x:c>
      <x:c r="S23" s="26" t="str">
        <x:v>LP/MIP benchmark</x:v>
      </x:c>
      <x:c r="T23" s="26" t="str">
        <x:v>正式定义 autoformulation，并用 LLM+MCTS 搜索正确的 solver-ready 数学模型。</x:v>
      </x:c>
      <x:c r="U23" s="26" t="str">
        <x:v>进一步说明“自然语言→可计算优化表示”不是新范式。</x:v>
      </x:c>
      <x:c r="V23" s="26" t="str">
        <x:v>你的贡献必须依赖 route-specific implicit semantics / robustness，而非 autoformulation 本身。</x:v>
      </x:c>
      <x:c r="W23" s="26" t="str">
        <x:v>方法论背景，可在 Related Work 的 structured decision making 段引用。</x:v>
      </x:c>
      <x:c r="X23" s="26" t="str">
        <x:v>https://proceedings.mlr.press/v267/astorga25a.html</x:v>
      </x:c>
      <x:c r="Y23" s="26" t="str">
        <x:v>ICML 正式论文。</x:v>
      </x:c>
    </x:row>
    <x:row r="24" ht="52" customHeight="1">
      <x:c r="A24" s="26" t="n">
        <x:v>20</x:v>
      </x:c>
      <x:c r="B24" s="26" t="str">
        <x:v>C 方法基础</x:v>
      </x:c>
      <x:c r="C24" s="26" t="n">
        <x:v>2</x:v>
      </x:c>
      <x:c r="D24" s="26" t="str">
        <x:v>建议</x:v>
      </x:c>
      <x:c r="E24" s="26" t="str">
        <x:v>QuestBench: Can LLMs Ask the Right Question to Acquire Information in Reasoning Tasks?</x:v>
      </x:c>
      <x:c r="F24" s="26" t="str">
        <x:v>QuestBench</x:v>
      </x:c>
      <x:c r="G24" s="26" t="str">
        <x:v>Belinda Z. Li; Been Kim; Zi Wang</x:v>
      </x:c>
      <x:c r="H24" s="26" t="n">
        <x:v>2025</x:v>
      </x:c>
      <x:c r="I24" s="26" t="str">
        <x:v>NeurIPS 2025 / arXiv</x:v>
      </x:c>
      <x:c r="J24" s="26" t="str">
        <x:v>欠明确请求 / 澄清问题</x:v>
      </x:c>
      <x:c r="K24" s="26" t="str">
        <x:v>缺失一个必要变量的 underspecified reasoning/planning task</x:v>
      </x:c>
      <x:c r="L24" s="26" t="str">
        <x:v>不适用</x:v>
      </x:c>
      <x:c r="M24" s="26" t="str">
        <x:v>是</x:v>
      </x:c>
      <x:c r="N24" s="26" t="str">
        <x:v>CSP missing assignment</x:v>
      </x:c>
      <x:c r="O24" s="26" t="str">
        <x:v>硬约束/未知变量</x:v>
      </x:c>
      <x:c r="P24" s="26" t="str">
        <x:v>下游规划/推理</x:v>
      </x:c>
      <x:c r="Q24" s="26" t="str">
        <x:v>否</x:v>
      </x:c>
      <x:c r="R24" s="26" t="str">
        <x:v>非 paraphrase；关注 underspecification</x:v>
      </x:c>
      <x:c r="S24" s="26" t="str">
        <x:v>Logic-Q / Planning-Q / GSM-Q / GSME-Q</x:v>
      </x:c>
      <x:c r="T24" s="26" t="str">
        <x:v>把欠明确请求形式化为缺失变量的 CSP，评估模型是否能提出最小必要澄清问题。</x:v>
      </x:c>
      <x:c r="U24" s="26" t="str">
        <x:v>与你计划中的 noisy/conflicting/ambiguous expressions 有潜在连接。</x:v>
      </x:c>
      <x:c r="V24" s="26" t="str">
        <x:v>可扩展为：当 implicit preference 不足以唯一 grounding 时，系统应 abstain/clarify，而非强行给权重。</x:v>
      </x:c>
      <x:c r="W24" s="26" t="str">
        <x:v>若后续需要第三个创新点，“uncertainty-aware clarification”比再加 prompt 模块更有研究价值。</x:v>
      </x:c>
      <x:c r="X24" s="26" t="str">
        <x:v>https://arxiv.org/abs/2503.22674</x:v>
      </x:c>
      <x:c r="Y24" s="26" t="str">
        <x:v>可作为未来扩展 reference。</x:v>
      </x:c>
    </x:row>
  </x:sheetData>
  <x:mergeCells>
    <x:mergeCell ref="A1:Y1"/>
    <x:mergeCell ref="A2:Y2"/>
  </x:mergeCells>
  <x:conditionalFormatting sqref="C5:C2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B5:B24">
    <x:cfRule type="expression" dxfId="0" priority="2">
      <x:formula>LEFT(B5,1)="A"</x:formula>
    </x:cfRule>
  </x:conditionalFormatting>
  <x:conditionalFormatting sqref="D5:D24">
    <x:cfRule type="expression" dxfId="1" priority="3">
      <x:formula>D5="必引"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57fa1545574c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4" max="4" width="16" hidden="0" customWidth="1"/>
    <x:col min="5" max="5" width="16" hidden="0" customWidth="1"/>
    <x:col min="3" max="3" width="95" hidden="0" customWidth="1"/>
  </x:cols>
  <x:sheetData>
    <x:row r="1" ht="28" customHeight="1">
      <x:c r="A1" s="3" t="str">
        <x:v>Reference Screening — 项目判断摘要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30" t="str">
        <x:v>KPI</x:v>
      </x:c>
      <x:c r="B3" s="30" t="str">
        <x:v>数值</x:v>
      </x:c>
      <x:c r="D3" s="30" t="str">
        <x:v>Threat Score</x:v>
      </x:c>
      <x:c r="E3" s="30" t="str">
        <x:v>文献数</x:v>
      </x:c>
    </x:row>
    <x:row r="4">
      <x:c r="A4" s="32" t="str">
        <x:v>已筛 reference</x:v>
      </x:c>
      <x:c r="B4" t="n">
        <x:f>COUNTA('Reference Matrix'!E5:E24)</x:f>
        <x:v>20</x:v>
      </x:c>
      <x:c r="D4" t="n">
        <x:v>1</x:v>
      </x:c>
      <x:c r="E4" t="n">
        <x:f>COUNTIF('Reference Matrix'!C5:C24,D4)</x:f>
        <x:v>0</x:v>
      </x:c>
    </x:row>
    <x:row r="5">
      <x:c r="A5" s="32" t="str">
        <x:v>高威胁 (Score≥4)</x:v>
      </x:c>
      <x:c r="B5" t="n">
        <x:f>COUNTIF('Reference Matrix'!C5:C24,"&gt;=4")</x:f>
        <x:v>7</x:v>
      </x:c>
      <x:c r="D5" t="n">
        <x:v>2</x:v>
      </x:c>
      <x:c r="E5" t="n">
        <x:f>COUNTIF('Reference Matrix'!C5:C24,D5)</x:f>
        <x:v>4</x:v>
      </x:c>
    </x:row>
    <x:row r="6">
      <x:c r="A6" s="32" t="str">
        <x:v>直接撞题 A 层</x:v>
      </x:c>
      <x:c r="B6" t="n">
        <x:f>COUNTIF('Reference Matrix'!B5:B24,"A 直接撞题")</x:f>
        <x:v>7</x:v>
      </x:c>
      <x:c r="D6" t="n">
        <x:v>3</x:v>
      </x:c>
      <x:c r="E6" t="n">
        <x:f>COUNTIF('Reference Matrix'!C5:C24,D6)</x:f>
        <x:v>9</x:v>
      </x:c>
    </x:row>
    <x:row r="7">
      <x:c r="A7" s="32" t="str">
        <x:v>明确做 robustness/paraphrase</x:v>
      </x:c>
      <x:c r="B7" t="n">
        <x:f>COUNTIF('Reference Matrix'!R5:R24,"是：核心")+COUNTIF('Reference Matrix'!R5:R24,"是：核心贡献")+COUNTIF('Reference Matrix'!R5:R24,"是：报告对 diverse paraphrased prompts 有效")</x:f>
        <x:v>5</x:v>
      </x:c>
      <x:c r="D7" t="n">
        <x:v>4</x:v>
      </x:c>
      <x:c r="E7" t="n">
        <x:f>COUNTIF('Reference Matrix'!C5:C24,D7)</x:f>
        <x:v>5</x:v>
      </x:c>
    </x:row>
    <x:row r="8">
      <x:c r="D8" t="n">
        <x:v>5</x:v>
      </x:c>
      <x:c r="E8" t="n">
        <x:f>COUNTIF('Reference Matrix'!C5:C24,D8)</x:f>
        <x:v>2</x:v>
      </x:c>
    </x:row>
    <x:row r="10">
      <x:c r="A10" s="35" t="str">
        <x:v>第一轮筛查结论</x:v>
      </x:c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 ht="52" customHeight="1">
      <x:c r="A11" s="45" t="str">
        <x:v>1</x:v>
      </x:c>
      <x:c r="B11" s="46" t="str">
        <x:v>不安全的创新 claim</x:v>
      </x:c>
      <x:c r="C11" s="47" t="str">
        <x:v>“LLM 解析自然语言 → 结构化 preference/constraint → 外部 solver/route planner” 已被 LLMAP、RouteLLM、PTS、LAPPI、NAACL Formal Travel Planner 等覆盖。</x:v>
      </x:c>
    </x:row>
    <x:row r="12" ht="52" customHeight="1">
      <x:c r="A12" s="45" t="str">
        <x:v>2</x:v>
      </x:c>
      <x:c r="B12" s="46" t="str">
        <x:v>Soft / Hard constraint 也不是新点</x:v>
      </x:c>
      <x:c r="C12" s="47" t="str">
        <x:v>RouteLLM、TravelAgent、COMPASS 等都明确处理约束与偏好或 hard/soft distinction。</x:v>
      </x:c>
    </x:row>
    <x:row r="13" ht="52" customHeight="1">
      <x:c r="A13" s="45" t="str">
        <x:v>3</x:v>
      </x:c>
      <x:c r="B13" s="46" t="str">
        <x:v>Robustness 仍有空间，但必须更具体</x:v>
      </x:c>
      <x:c r="C13" s="47" t="str">
        <x:v>不能只写 paraphrase robustness；WASSA 2026、EMNLP 2025、ACL 2026、LIBERO-Para 已覆盖一般语义等价 prompt robustness。</x:v>
      </x:c>
    </x:row>
    <x:row r="14" ht="52" customHeight="1">
      <x:c r="A14" s="45" t="str">
        <x:v>4</x:v>
      </x:c>
      <x:c r="B14" s="46" t="str">
        <x:v>真正可守的 gap</x:v>
      </x:c>
      <x:c r="C14" s="47" t="str">
        <x:v>研究“同一隐式 route preference 的语义等价表达，是否得到 decision-equivalent preference representation 与 route choice”，并量化 preference drift、constraint flip、route inconsistency、downstream regret。</x:v>
      </x:c>
    </x:row>
    <x:row r="15" ht="52" customHeight="1">
      <x:c r="A15" s="45" t="str">
        <x:v>5</x:v>
      </x:c>
      <x:c r="B15" s="46" t="str">
        <x:v>最需要正面对照</x:v>
      </x:c>
      <x:c r="C15" s="47" t="str">
        <x:v>Hao et al. NAACL 2025 已在旅行规划中报告对 diverse paraphrased prompts 有效，因此新论文必须说明：他们验证的是多约束旅行规划整体鲁棒性，而我们专门隔离 utterance-level implicit route preference grounding。</x:v>
      </x:c>
    </x:row>
    <x:row r="16" ht="52" customHeight="1">
      <x:c r="A16" s="45" t="str">
        <x:v>6</x:v>
      </x:c>
      <x:c r="B16" s="46" t="str">
        <x:v>可选升级方向</x:v>
      </x:c>
      <x:c r="C16" s="47" t="str">
        <x:v>对 ambiguous / conflicting utterance 加 uncertainty-aware abstention / clarification；QuestBench 与 APRICOT 可作为相关方法基础。</x:v>
      </x:c>
    </x:row>
    <x:row r="18">
      <x:c r="A18" s="35" t="str">
        <x:v>建议的新 Research Question / Contribution 方向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57" t="str">
        <x:v>RQ：When semantically equivalent utterances express the same implicit route preference, can an LLM-grounded routing pipeline preserve both preference-level and decision-level equivalence?
Contrib-1：Controlled benchmark for implicit route-preference paraphrases / pragmatic expressions.
Contrib-2：Multi-level robustness metrics：grounding accuracy + preference drift + constraint flip + route consistency + downstream regret.
Contrib-3（可选）：consistency verification / uncertainty-aware clarification，用于减少不稳定或欠明确 grounding。</x:v>
      </x:c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</x:row>
    <x:row r="24">
      <x:c r="A24" s="83" t="str">
        <x:v>第二轮精读后的结论（Threat ≥ 4）</x:v>
      </x:c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</x:row>
    <x:row r="25" ht="40" customHeight="1">
      <x:c r="A25" s="87" t="str">
        <x:v>1) 原来的框架型贡献基本不能保留：Structured Grounding、Soft/Hard、LLM+Solver、普通 synthetic benchmark 都有直接 precedent。
2) LLMAP 的 HIPP 尤其危险：它已经做了 synthetic label → natural implicit instruction → preference weight estimation；这几乎击穿原版 ImplicitRoute-Bench 的新颖性。
3) RouteLLM 进一步把 abstract preference 离散为 {0,0.5,1}，其中 1 直接作为 hard requirement，并评估 Preference_F1。
4) NAACL 2025 的 formal planner 已经做过 paraphrased prompts，但它改写的是系统/编码提示，而不是同一用户隐式偏好的多种 utterance，因此我们的 robustness gap 仍成立。
5) 当前最值得主打的科学问题：semantic-equivalent implicit utterances 是否保持 preference-level 与 route-decision-level equivalence？</x:v>
      </x:c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  <x:c r="L25" s="87"/>
      <x:c r="M25" s="87"/>
      <x:c r="N25" s="87"/>
    </x:row>
    <x:row r="26" ht="40" customHeight="1">
      <x:c r="A26" s="87"/>
      <x:c r="B26" s="87"/>
      <x:c r="C26" s="87"/>
      <x:c r="D26" s="87"/>
      <x:c r="E26" s="87"/>
      <x:c r="F26" s="87"/>
      <x:c r="G26" s="87"/>
      <x:c r="H26" s="87"/>
      <x:c r="I26" s="87"/>
      <x:c r="J26" s="87"/>
      <x:c r="K26" s="87"/>
      <x:c r="L26" s="87"/>
      <x:c r="M26" s="87"/>
      <x:c r="N26" s="87"/>
    </x:row>
    <x:row r="27" ht="40" customHeight="1">
      <x:c r="A27" s="87"/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  <x:c r="L27" s="87"/>
      <x:c r="M27" s="87"/>
      <x:c r="N27" s="87"/>
    </x:row>
    <x:row r="28" ht="40" customHeight="1">
      <x:c r="A28" s="87"/>
      <x:c r="B28" s="87"/>
      <x:c r="C28" s="87"/>
      <x:c r="D28" s="87"/>
      <x:c r="E28" s="87"/>
      <x:c r="F28" s="87"/>
      <x:c r="G28" s="87"/>
      <x:c r="H28" s="87"/>
      <x:c r="I28" s="87"/>
      <x:c r="J28" s="87"/>
      <x:c r="K28" s="87"/>
      <x:c r="L28" s="87"/>
      <x:c r="M28" s="87"/>
      <x:c r="N28" s="87"/>
    </x:row>
    <x:row r="29" ht="40" customHeight="1">
      <x:c r="A29" s="87"/>
      <x:c r="B29" s="87"/>
      <x:c r="C29" s="87"/>
      <x:c r="D29" s="87"/>
      <x:c r="E29" s="87"/>
      <x:c r="F29" s="87"/>
      <x:c r="G29" s="87"/>
      <x:c r="H29" s="87"/>
      <x:c r="I29" s="87"/>
      <x:c r="J29" s="87"/>
      <x:c r="K29" s="87"/>
      <x:c r="L29" s="87"/>
      <x:c r="M29" s="87"/>
      <x:c r="N29" s="87"/>
    </x:row>
    <x:row r="31">
      <x:c r="A31" s="83" t="str">
        <x:v>当前建议的主 Claim（暂定）</x:v>
      </x:c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</x:row>
    <x:row r="32">
      <x:c r="A32" s="91" t="str">
        <x:v>We study whether semantically equivalent utterances expressing the same implicit route preference preserve both preference-level grounding and downstream route-decision equivalence. We introduce a controlled benchmark and multi-level robustness metrics that quantify preference drift, soft–hard constraint flips, route inconsistency, and downstream regret.
注意：目前只能称为“candidate novelty claim”，还不建议写 first-ever；需要再做一轮更广的 reference sweep 才能决定是否使用“first”。</x:v>
      </x:c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</x:row>
    <x:row r="38">
      <x:c r="A38" s="107" t="str">
        <x:v>Round 3：最后撞题检查后的判断</x:v>
      </x:c>
      <x:c r="B38" s="107"/>
      <x:c r="C38" s="107"/>
      <x:c r="D38" s="107"/>
      <x:c r="E38" s="107"/>
      <x:c r="F38" s="107"/>
      <x:c r="G38" s="107"/>
      <x:c r="H38" s="107"/>
      <x:c r="I38" s="107"/>
      <x:c r="J38" s="107"/>
      <x:c r="K38" s="107"/>
      <x:c r="L38" s="107"/>
      <x:c r="M38" s="107"/>
      <x:c r="N38" s="107"/>
    </x:row>
    <x:row r="39" ht="42" customHeight="1">
      <x:c r="A39" s="111" t="str">
        <x:v>新增最关键威胁：ICR-Drive（CVPR 2026 Workshop）已经系统评估自动驾驶指令的 Paraphrase / Ambiguity / Noise / Misleading，并固定 route 与 simulator seed，只让语言变化。 因此，我们不能再把“语言扰动会影响 driving/navigation decision”本身作为 novelty。
但截至本轮定向检索，仍未发现完全同构的工作同时做到： (1) utterance-level implicit route preference； (2) semantically equivalent expression groups； (3) 显式 preference/constraint intermediate representation； (4) preference drift / soft-hard constraint flip； (5) route choice inconsistency； (6) downstream regret / constraint violation 的误差传播分析。
因此项目还能做，但论文核心必须从“paraphrase robustness”进一步升级为： Robustness and Error Propagation in Implicit Route-Preference Grounding.</x:v>
      </x:c>
      <x:c r="B39" s="111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</x:row>
    <x:row r="40" ht="42" customHeight="1">
      <x:c r="A40" s="111"/>
      <x:c r="B40" s="111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</x:row>
    <x:row r="41" ht="42" customHeight="1">
      <x:c r="A41" s="111"/>
      <x:c r="B41" s="111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</x:row>
    <x:row r="42" ht="42" customHeight="1">
      <x:c r="A42" s="111"/>
      <x:c r="B42" s="111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</x:row>
    <x:row r="43" ht="42" customHeight="1">
      <x:c r="A43" s="111"/>
      <x:c r="B43" s="111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</x:row>
    <x:row r="44" ht="42" customHeight="1">
      <x:c r="A44" s="111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</x:row>
    <x:row r="46">
      <x:c r="A46" s="107" t="str">
        <x:v>推荐的最终 RQ（v3）</x:v>
      </x:c>
      <x:c r="B46" s="107"/>
      <x:c r="C46" s="107"/>
      <x:c r="D46" s="107"/>
      <x:c r="E46" s="107"/>
      <x:c r="F46" s="107"/>
      <x:c r="G46" s="107"/>
      <x:c r="H46" s="107"/>
      <x:c r="I46" s="107"/>
      <x:c r="J46" s="107"/>
      <x:c r="K46" s="107"/>
      <x:c r="L46" s="107"/>
      <x:c r="M46" s="107"/>
      <x:c r="N46" s="107"/>
    </x:row>
    <x:row r="47" ht="40" customHeight="1">
      <x:c r="A47" s="115" t="str">
        <x:v>RQ1 — Grounding robustness: For semantically equivalent utterances expressing the same implicit route preference, how stable are the grounded preference vectors and hard/soft constraints?
RQ2 — Error propagation: When grounding varies, how often does the variation propagate into route flips, constraint violations, or downstream regret?
RQ3 — Boundary sensitivity: Which linguistic phenomena (implicitness, paraphrase, noise, ambiguity, soft–hard wording) are most likely to cause harmful decision changes?
这三个 RQ 比原来的“LLM→JSON→route”明显更安全，也能与 ICR-Drive / LLMAP / RouteLLM 做清晰区分。</x:v>
      </x:c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 ht="4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 ht="4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 ht="4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 ht="4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</x:sheetData>
  <x:mergeCells>
    <x:mergeCell ref="A1:N1"/>
    <x:mergeCell ref="A10:N10"/>
    <x:mergeCell ref="A18:N18"/>
    <x:mergeCell ref="A19:N22"/>
    <x:mergeCell ref="A24:N24"/>
    <x:mergeCell ref="A25:N29"/>
    <x:mergeCell ref="A31:N31"/>
    <x:mergeCell ref="A32:N35"/>
    <x:mergeCell ref="A38:N38"/>
    <x:mergeCell ref="A39:N44"/>
    <x:mergeCell ref="A46:N46"/>
    <x:mergeCell ref="A47:N51"/>
  </x:mergeCells>
  <x:pageMargins left="0.7" right="0.7" top="0.75" bottom="0.75" header="0.3" footer="0.3"/>
  <x:drawing xmlns:r="http://schemas.openxmlformats.org/officeDocument/2006/relationships" r:id="R9cbfc424961e4f98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8" hidden="0" customWidth="1"/>
    <x:col min="4" max="4" width="48" hidden="0" customWidth="1"/>
  </x:cols>
  <x:sheetData>
    <x:row r="1">
      <x:c r="A1" s="63" t="str">
        <x:v>字段</x:v>
      </x:c>
      <x:c r="B1" s="63" t="str">
        <x:v>含义</x:v>
      </x:c>
      <x:c r="C1" s="63" t="str">
        <x:v>建议用法</x:v>
      </x:c>
      <x:c r="D1" s="63" t="str">
        <x:v>注意</x:v>
      </x:c>
    </x:row>
    <x:row r="2" ht="42" customHeight="1">
      <x:c r="A2" s="47" t="str">
        <x:v>Threat Score</x:v>
      </x:c>
      <x:c r="B2" s="47" t="str">
        <x:v>1–5 的创新性威胁判断</x:v>
      </x:c>
      <x:c r="C2" s="47" t="str">
        <x:v>先按 5→1 阅读</x:v>
      </x:c>
      <x:c r="D2" s="47" t="str">
        <x:v>这是研究筛查判断，不是论文质量评分</x:v>
      </x:c>
    </x:row>
    <x:row r="3" ht="42" customHeight="1">
      <x:c r="A3" s="47" t="str">
        <x:v>A 直接撞题</x:v>
      </x:c>
      <x:c r="B3" s="47" t="str">
        <x:v>问题设置/技术链路与当前 idea 高度重合</x:v>
      </x:c>
      <x:c r="C3" s="47" t="str">
        <x:v>必须精读方法与实验</x:v>
      </x:c>
      <x:c r="D3" s="47" t="str">
        <x:v>通常需要在 Introduction/Related Work 正面区分</x:v>
      </x:c>
    </x:row>
    <x:row r="4" ht="42" customHeight="1">
      <x:c r="A4" s="47" t="str">
        <x:v>B 强相关</x:v>
      </x:c>
      <x:c r="B4" s="47" t="str">
        <x:v>某一核心模块高度相关</x:v>
      </x:c>
      <x:c r="C4" s="47" t="str">
        <x:v>用于界定 novelty 边界</x:v>
      </x:c>
      <x:c r="D4" s="47" t="str">
        <x:v>不一定直接否定 idea</x:v>
      </x:c>
    </x:row>
    <x:row r="5" ht="42" customHeight="1">
      <x:c r="A5" s="47" t="str">
        <x:v>C 方法基础</x:v>
      </x:c>
      <x:c r="B5" s="47" t="str">
        <x:v>提供 NL→formalization / preference learning / clarification 等上游方法</x:v>
      </x:c>
      <x:c r="C5" s="47" t="str">
        <x:v>作为方法论背景</x:v>
      </x:c>
      <x:c r="D5" s="47" t="str">
        <x:v>不要把基础范式当自己的创新</x:v>
      </x:c>
    </x:row>
    <x:row r="6" ht="42" customHeight="1">
      <x:c r="A6" s="47" t="str">
        <x:v>D Robustness</x:v>
      </x:c>
      <x:c r="B6" s="47" t="str">
        <x:v>提供 paraphrase/prompt sensitivity 的 benchmark、指标或方法</x:v>
      </x:c>
      <x:c r="C6" s="47" t="str">
        <x:v>用于设计 robustness 实验</x:v>
      </x:c>
      <x:c r="D6" s="47" t="str">
        <x:v>要避免把“paraphrase robustness”本身当新点</x:v>
      </x:c>
    </x:row>
    <x:row r="7" ht="42" customHeight="1">
      <x:c r="A7" s="47" t="str">
        <x:v>引用优先级</x:v>
      </x:c>
      <x:c r="B7" s="47" t="str">
        <x:v>必引 / 强烈建议 / 建议</x:v>
      </x:c>
      <x:c r="C7" s="47" t="str">
        <x:v>决定优先精读顺序</x:v>
      </x:c>
      <x:c r="D7" s="47" t="str">
        <x:v>后续可加“已读/待读/精读完成”状态列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20" hidden="0" customWidth="1"/>
    <x:col min="4" max="4" width="8" hidden="0" customWidth="1"/>
    <x:col min="5" max="5" width="45" hidden="0" customWidth="1"/>
    <x:col min="6" max="6" width="32" hidden="0" customWidth="1"/>
    <x:col min="7" max="7" width="32" hidden="0" customWidth="1"/>
    <x:col min="8" max="8" width="30" hidden="0" customWidth="1"/>
    <x:col min="9" max="9" width="31" hidden="0" customWidth="1"/>
    <x:col min="10" max="10" width="34" hidden="0" customWidth="1"/>
    <x:col min="11" max="11" width="26" hidden="0" customWidth="1"/>
    <x:col min="12" max="12" width="35" hidden="0" customWidth="1"/>
    <x:col min="13" max="13" width="42" hidden="0" customWidth="1"/>
    <x:col min="14" max="14" width="42" hidden="0" customWidth="1"/>
    <x:col min="15" max="15" width="24" hidden="0" customWidth="1"/>
    <x:col min="16" max="16" width="45" hidden="0" customWidth="1"/>
    <x:col min="17" max="17" width="44" hidden="0" customWidth="1"/>
    <x:col min="18" max="18" width="44" hidden="0" customWidth="1"/>
    <x:col min="19" max="19" width="12" hidden="0" customWidth="1"/>
    <x:col min="20" max="20" width="34" hidden="0" customWidth="1"/>
  </x:cols>
  <x:sheetData>
    <x:row r="1" ht="28" customHeight="1">
      <x:c r="A1" s="67" t="str">
        <x:v>Threat ≥ 4 — 第二轮精读 / Novelty Collision Audit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</x:row>
    <x:row r="2" ht="34" customHeight="1">
      <x:c r="A2" s="70" t="str">
        <x:v>目标不是总结论文，而是找“精确撞题点”。每篇只回答四件事：它到底 claim 了什么、实验证明了什么、它没覆盖什么、我们还能安全 claim 什么。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</x:row>
    <x:row r="4" ht="42" customHeight="1">
      <x:c r="A4" s="75" t="str">
        <x:v>ID</x:v>
      </x:c>
      <x:c r="B4" s="75" t="str">
        <x:v>Paper</x:v>
      </x:c>
      <x:c r="C4" s="75" t="str">
        <x:v>Venue / Status</x:v>
      </x:c>
      <x:c r="D4" s="75" t="str">
        <x:v>Threat</x:v>
      </x:c>
      <x:c r="E4" s="75" t="str">
        <x:v>Exact Novelty Claim（精读后）</x:v>
      </x:c>
      <x:c r="F4" s="75" t="str">
        <x:v>核心结构化表示</x:v>
      </x:c>
      <x:c r="G4" s="75" t="str">
        <x:v>Implicitness 到底来自哪里</x:v>
      </x:c>
      <x:c r="H4" s="75" t="str">
        <x:v>Solver / Planner</x:v>
      </x:c>
      <x:c r="I4" s="75" t="str">
        <x:v>Dataset / Scale</x:v>
      </x:c>
      <x:c r="J4" s="75" t="str">
        <x:v>Evaluation Metrics</x:v>
      </x:c>
      <x:c r="K4" s="75" t="str">
        <x:v>是否真正测 Linguistic Robustness?</x:v>
      </x:c>
      <x:c r="L4" s="75" t="str">
        <x:v>关键结果</x:v>
      </x:c>
      <x:c r="M4" s="75" t="str">
        <x:v>与我们最接近的重合</x:v>
      </x:c>
      <x:c r="N4" s="75" t="str">
        <x:v>真正未覆盖的 Gap</x:v>
      </x:c>
      <x:c r="O4" s="75" t="str">
        <x:v>Can We Safely Claim First?</x:v>
      </x:c>
      <x:c r="P4" s="75" t="str">
        <x:v>建议的安全 Claim</x:v>
      </x:c>
      <x:c r="Q4" s="75" t="str">
        <x:v>我们必须补的实验</x:v>
      </x:c>
      <x:c r="R4" s="75" t="str">
        <x:v>Evidence URLs</x:v>
      </x:c>
      <x:c r="S4" s="75" t="str">
        <x:v>精读状态</x:v>
      </x:c>
      <x:c r="T4" s="75" t="str">
        <x:v>备注</x:v>
      </x:c>
    </x:row>
    <x:row r="5" ht="88" customHeight="1">
      <x:c r="A5" s="26" t="n">
        <x:v>1</x:v>
      </x:c>
      <x:c r="B5" s="26" t="str">
        <x:v>LLMAP</x:v>
      </x:c>
      <x:c r="C5" s="26" t="str">
        <x:v>Findings of EMNLP 2025</x:v>
      </x:c>
      <x:c r="D5" s="26" t="n">
        <x:v>5</x:v>
      </x:c>
      <x:c r="E5" s="26" t="str">
        <x:v>提出 LLM-as-Parser + MSGS：逐 query 解析自然语言中的 POI、时间/依赖约束与用户偏好权重，再进行多目标图搜索；同时构建 HIPP 合成 benchmark。</x:v>
      </x:c>
      <x:c r="F5" s="26" t="str">
        <x:v>POI集合；time limit；task dependencies；quality_weight / distance_weight（0–1 且和为1）</x:v>
      </x:c>
      <x:c r="G5" s="26" t="str">
        <x:v>是。HIPP 从含数值权重的 synthetic label 生成自然、隐式的人类指令，并刻意不暴露数值权重。</x:v>
      </x:c>
      <x:c r="H5" s="26" t="str">
        <x:v>MSGS，多步图构建 + 迭代搜索；硬约束优先，之后 task completion，再做 quality–distance trade-off。</x:v>
      </x:c>
      <x:c r="I5" s="26" t="str">
        <x:v>HIPP：1,000 samples；14国27城；每条含 synthetic label、human instruction 和多模型 parser 估计。</x:v>
      </x:c>
      <x:c r="J5" s="26" t="str">
        <x:v>Parser：POI F1、dependency F1、time-limit accuracy、preference-weight similarity；Route：rating、reviews、length、task completion、3类 constraint violation。</x:v>
      </x:c>
      <x:c r="K5" s="26" t="str">
        <x:v>没有做“同一 gold preference 的多种语义等价 utterance cluster”一致性评估。</x:v>
      </x:c>
      <x:c r="L5" s="26" t="str">
        <x:v>GPT-4o preference similarity 89.35；GPT-4o+CoT 89.74。LLMAP GPT-4o route task completion 96.02%，3类硬约束 violation 为0。</x:v>
      </x:c>
      <x:c r="M5" s="26" t="str">
        <x:v>极高：你的“implicit NL → preference weights → deterministic route optimizer”以及“synthetic label → natural instruction benchmark”都已经被覆盖。</x:v>
      </x:c>
      <x:c r="N5" s="26" t="str">
        <x:v>LLMAP 只在每个 synthetic label 上生成一条指令；它发现细粒度数值权重估计困难，但没有系统研究 wording invariance / paraphrase cluster / downstream decision consistency。</x:v>
      </x:c>
      <x:c r="O5" s="26" t="str">
        <x:v>否：不能声称首次 NL route preference→weights→solver；不能声称首次 synthetic implicit route-preference benchmark。</x:v>
      </x:c>
      <x:c r="P5" s="26" t="str">
        <x:v>可安全改写为：在既有结构化 grounding 范式上，专门评估同一隐式 route preference 的语言等价性是否保持 preference-level 与 route-decision-level invariance。</x:v>
      </x:c>
      <x:c r="Q5" s="26" t="str">
        <x:v>必须把同一 gold intent 生成 5–10 个 controlled variants，并同时测 preference drift 与 route flip，而不只是单条 grounding accuracy。</x:v>
      </x:c>
      <x:c r="R5" s="26" t="str">
        <x:v>https://aclanthology.org/2025.findings-emnlp.416/ ; https://aclanthology.org/2025.findings-emnlp.416.pdf</x:v>
      </x:c>
      <x:c r="S5" s="26" t="str">
        <x:v>精读完成</x:v>
      </x:c>
      <x:c r="T5" s="26" t="str">
        <x:v>这是当前最关键的 precedent：尤其 HIPP 已非常接近原来的 ImplicitRoute-Bench。</x:v>
      </x:c>
    </x:row>
    <x:row r="6" ht="88" customHeight="1">
      <x:c r="A6" s="26" t="n">
        <x:v>2</x:v>
      </x:c>
      <x:c r="B6" s="26" t="str">
        <x:v>RouteLLM</x:v>
      </x:c>
      <x:c r="C6" s="26" t="str">
        <x:v>arXiv 2025</x:v>
      </x:c>
      <x:c r="D6" s="26" t="n">
        <x:v>5</x:v>
      </x:c>
      <x:c r="E6" s="26" t="str">
        <x:v>提出层级多智能体框架，将自然语言路由请求解析为 POI、path/special constraints 与 abstract preferences；主张把语言灵活性与传统精确路由结合。</x:v>
      </x:c>
      <x:c r="F6" s="26" t="str">
        <x:v>Specific path constraints；abstract preference vector p∈{0,0.5,1}^m；0=未提及，0.5=moderate，1=strong/hard；另有 POI requirements。</x:v>
      </x:c>
      <x:c r="G6" s="26" t="str">
        <x:v>混合。能处理 nuanced/abstract preferences，但 benchmark 主要是 GPT-4o 生成的 routing queries，并非专门的隐式表达族。</x:v>
      </x:c>
      <x:c r="H6" s="26" t="str">
        <x:v>A*/NAMOA* 等；LLM 给 active objective set + preference weights；Verifier 做 constraint checking。</x:v>
      </x:c>
      <x:c r="I6" s="26" t="str">
        <x:v>100 GPT-4o routing queries；40% simple / 40% medium / 20% hard；50×30 synthetic grids；另有 NYC Greenwich Village OSM case study。</x:v>
      </x:c>
      <x:c r="J6" s="26" t="str">
        <x:v>POI_F1、Constraint_F1、Preference_F1、schema validity；另以多维 cost 变化展示 preference-driven route adaptation。</x:v>
      </x:c>
      <x:c r="K6" s="26" t="str">
        <x:v>没有系统 paraphrase / semantic-equivalence robustness benchmark。</x:v>
      </x:c>
      <x:c r="L6" s="26" t="str">
        <x:v>RouteLLM Preference_F1=0.788，overall F1=0.901；Direct Preference_F1=0.738；CoT=0.377。</x:v>
      </x:c>
      <x:c r="M6" s="26" t="str">
        <x:v>极高：x→(P,C) 以及 soft/hard intensity、preference-conditioned cost、route adaptation 都高度同构。</x:v>
      </x:c>
      <x:c r="N6" s="26" t="str">
        <x:v>作者自己承认 benchmark 规模小、主要模拟、strict large-scale comparison 不足；尤其没有对同一语义在 wording 变化下是否稳定进行控制实验。</x:v>
      </x:c>
      <x:c r="O6" s="26" t="str">
        <x:v>否：不能声称首次 soft/hard route preference grounding；不能声称首次自然语言→weighted route objective。</x:v>
      </x:c>
      <x:c r="P6" s="26" t="str">
        <x:v>候选 gap：semantic-equivalent implicit utterance robustness；尤其 constraint flip（0.5↔1）和 objective activation flip 对路线的后果。</x:v>
      </x:c>
      <x:c r="Q6" s="26" t="str">
        <x:v>加入专门的 hard/soft boundary stress test：如“尽量别走高速” vs “绝对不要高速”与等价改写，测 preference intensity drift / constraint flip。</x:v>
      </x:c>
      <x:c r="R6" s="26" t="str">
        <x:v>https://arxiv.org/abs/2510.06078 ; https://arxiv.org/pdf/2510.06078</x:v>
      </x:c>
      <x:c r="S6" s="26" t="str">
        <x:v>精读完成</x:v>
      </x:c>
      <x:c r="T6" s="26" t="str">
        <x:v>RouteLLM 本身 Preference_F1 不高，反而为我们做 robustness diagnostic 提供空间。</x:v>
      </x:c>
    </x:row>
    <x:row r="7" ht="88" customHeight="1">
      <x:c r="A7" s="26" t="n">
        <x:v>3</x:v>
      </x:c>
      <x:c r="B7" s="26" t="str">
        <x:v>PathGPT</x:v>
      </x:c>
      <x:c r="C7" s="26" t="str">
        <x:v>arXiv 2025</x:v>
      </x:c>
      <x:c r="D7" s="26" t="n">
        <x:v>4</x:v>
      </x:c>
      <x:c r="E7" s="26" t="str">
        <x:v>把 path recommendation 重构成自然语言生成任务，并用历史轨迹 RAG 使单一 LLM 在无需重新训练时适应不同 user-defined route requirements。</x:v>
      </x:c>
      <x:c r="F7" s="26" t="str">
        <x:v>不是显式 preference vector；输入是自然语言任务/约束，LLM 直接输出道路序列。</x:v>
      </x:c>
      <x:c r="G7" s="26" t="str">
        <x:v>有限。重点是可变 user-defined constraints，不是隐式语用偏好。</x:v>
      </x:c>
      <x:c r="H7" s="26" t="str">
        <x:v>无独立 route solver 做最终决策；RAG 提供历史路径，后处理验证道路合法性；ground truth 由图重加权最短路产生。</x:v>
      </x:c>
      <x:c r="I7" s="26" t="str">
        <x:v>北京/成都/哈尔滨出租车轨迹；约138万/360万/113万历史 paths；实验做 scenic 与 fuel-efficient 两类任务。</x:v>
      </x:c>
      <x:c r="J7" s="26" t="str">
        <x:v>路径 precision / recall（生成道路与 gold route 的重合）。</x:v>
      </x:c>
      <x:c r="K7" s="26" t="str">
        <x:v>仅报告直接 prompting 路线推荐“inconsistent”，没有 controlled paraphrase consistency 实验。</x:v>
      </x:c>
      <x:c r="L7" s="26" t="str">
        <x:v>RAG 后在多个城市 scenic/fuel-efficient 任务中 precision/recall 多数在80%+；Base LLM 明显更低。</x:v>
      </x:c>
      <x:c r="M7" s="26" t="str">
        <x:v>中高：已覆盖“自然语言个性化路线需求→LLM route generation”，且直接指出 LLM route prompt 存在不一致。</x:v>
      </x:c>
      <x:c r="N7" s="26" t="str">
        <x:v>它不显式建模 preference grounding，也没有 gold preference representation；其鲁棒性问题没有被拆解成 language grounding vs downstream route decision。</x:v>
      </x:c>
      <x:c r="O7" s="26" t="str">
        <x:v>否：不能声称首次 LLM-based flexible/personalized natural-language route generation。</x:v>
      </x:c>
      <x:c r="P7" s="26" t="str">
        <x:v>可强调：我们不是让 LLM 生成路径，而是以可验证中间 preference space 隔离并诊断语言变化造成的决策漂移。</x:v>
      </x:c>
      <x:c r="Q7" s="26" t="str">
        <x:v>将 Direct LLM / PathGPT-style end-to-end 作为 baseline，与 Structured pipeline 在 paraphrase cluster 上比较 route consistency。</x:v>
      </x:c>
      <x:c r="R7" s="26" t="str">
        <x:v>https://arxiv.org/abs/2504.05846 ; https://arxiv.org/pdf/2504.05846</x:v>
      </x:c>
      <x:c r="S7" s="26" t="str">
        <x:v>精读完成</x:v>
      </x:c>
      <x:c r="T7" s="26" t="str">
        <x:v>arXiv 页面与当前 PDF 的副标题存在版本差异；引用时以最终版本元数据为准。</x:v>
      </x:c>
    </x:row>
    <x:row r="8" ht="88" customHeight="1">
      <x:c r="A8" s="26" t="n">
        <x:v>5</x:v>
      </x:c>
      <x:c r="B8" s="26" t="str">
        <x:v>PTS</x:v>
      </x:c>
      <x:c r="C8" s="26" t="str">
        <x:v>ACL 2025 Long</x:v>
      </x:c>
      <x:c r="D8" s="26" t="n">
        <x:v>4</x:v>
      </x:c>
      <x:c r="E8" s="26" t="str">
        <x:v>提出 RealTravel 与 Personal Travel Solver，把显式约束验证、review-history 隐式偏好建模、候选重排和 SCIP 数值求解整合成个性化旅行规划系统。</x:v>
      </x:c>
      <x:c r="F8" s="26" t="str">
        <x:v>Translator：NL→structured JSON；Preference Encode：从用户历史 reviews 提取 implicit preference constraints/profile；Planning：显式/隐式约束进入 solver。</x:v>
      </x:c>
      <x:c r="G8" s="26" t="str">
        <x:v>是，但来源不同：implicit preference 主要来自历史 review/profile，而不是当前单轮 utterance 中的含蓄表达。</x:v>
      </x:c>
      <x:c r="H8" s="26" t="str">
        <x:v>SCIP numerical solver；五模块：Translator、Search、Preference Encode、Re-rank、Planning。</x:v>
      </x:c>
      <x:c r="I8" s="26" t="str">
        <x:v>RealTravel：TravelPlanner + Google Local 的真实用户 reviews 与 POI metadata。</x:v>
      </x:c>
      <x:c r="J8" s="26" t="str">
        <x:v>Delivery Rate、Commonsense Constraint Pass Rate、Hard Constraint Pass Rate、Final Pass Rate；Preference Rate 用 LLM-as-Judge 做 pairwise personalization 判断。</x:v>
      </x:c>
      <x:c r="K8" s="26" t="str">
        <x:v>未研究当前 utterance 的 paraphrase / linguistic invariance。</x:v>
      </x:c>
      <x:c r="L8" s="26" t="str">
        <x:v>在 RealTravel 上 Ours 多项 constraint pass 达到100%；Preference Encode 与 Re-rank 均提高 Preference Rate。</x:v>
      </x:c>
      <x:c r="M8" s="26" t="str">
        <x:v>高：证明“implicit preference + structured translation + solver”已经成立，削弱你原来的框架型 novelty。</x:v>
      </x:c>
      <x:c r="N8" s="26" t="str">
        <x:v>Implicitness 的来源是长期历史偏好，不是 utterance-level pragmatics；且 personalization evaluation 依赖 LLM-as-Judge，不是可验证的 gold preference vector。</x:v>
      </x:c>
      <x:c r="O8" s="26" t="str">
        <x:v>否：不能声称首次 implicit preference + LLM + numerical solver for travel planning。</x:v>
      </x:c>
      <x:c r="P8" s="26" t="str">
        <x:v>可区分为：utterance-level implicit route preference grounding，而非 history-based personalization；强调 gold-controlled semantics。</x:v>
      </x:c>
      <x:c r="Q8" s="26" t="str">
        <x:v>benchmark 不使用历史 profile；让每个样本的 gold preference 由模板/规则控制，并做人类语义校验子集。</x:v>
      </x:c>
      <x:c r="R8" s="26" t="str">
        <x:v>https://aclanthology.org/2025.acl-long.1339/ ; https://aclanthology.org/2025.acl-long.1339.pdf</x:v>
      </x:c>
      <x:c r="S8" s="26" t="str">
        <x:v>精读完成</x:v>
      </x:c>
      <x:c r="T8" s="26" t="str">
        <x:v>Related Work 必须明确区分 transient utterance preference 与 persistent user profile preference。</x:v>
      </x:c>
    </x:row>
    <x:row r="9" ht="88" customHeight="1">
      <x:c r="A9" s="26" t="n">
        <x:v>9</x:v>
      </x:c>
      <x:c r="B9" s="26" t="str">
        <x:v>Formal Travel Planner</x:v>
      </x:c>
      <x:c r="C9" s="26" t="str">
        <x:v>NAACL 2025 Long</x:v>
      </x:c>
      <x:c r="D9" s="26" t="n">
        <x:v>4</x:v>
      </x:c>
      <x:c r="E9" s="26" t="str">
        <x:v>把复杂自然语言多约束规划形式化为 constrained satisfiability / SMT，交给 sound &amp; complete solver，并支持 unsat-core 驱动的交互修复与跨任务 zero-shot generalization。</x:v>
      </x:c>
      <x:c r="F9" s="26" t="str">
        <x:v>自然语言约束→JSON/步骤→SMT constraints；主要是可行性约束，不是连续 preference vector。</x:v>
      </x:c>
      <x:c r="G9" s="26" t="str">
        <x:v>有限；重点为明确多约束 formalization，而非隐式偏好。</x:v>
      </x:c>
      <x:c r="H9" s="26" t="str">
        <x:v>Z3 SMT solver；可证明 satisfiable/unsatisfiable，并输出 unsat core。</x:v>
      </x:c>
      <x:c r="I9" s="26" t="str">
        <x:v>TravelPlanner validation 180 / test 1000；另 UnsatChristmas 与4类组合优化任务。</x:v>
      </x:c>
      <x:c r="J9" s="26" t="str">
        <x:v>TravelPlanner 的 Delivery / Commonsense / Hard Constraint / Final Pass；跨任务 optimal rate；unsat repair success rate。</x:v>
      </x:c>
      <x:c r="K9" s="26" t="str">
        <x:v>是，但要注意它 paraphrase 的是整个 Query-Step / Step-Code system prompts（含示例），不是把同一用户偏好改写成多个 utterances。</x:v>
      </x:c>
      <x:c r="L9" s="26" t="str">
        <x:v>Claude-3 Final Pass：Val 93.3%，Test 93.9%；GPT-4 在 paraphrased system prompts 下 Final Pass 86.7%。</x:v>
      </x:c>
      <x:c r="M9" s="26" t="str">
        <x:v>高：严重削弱“NL→formalization→solver”和泛化的“planning paraphrase robustness”claim。</x:v>
      </x:c>
      <x:c r="N9" s="26" t="str">
        <x:v>它的 paraphrase robustness 对象是系统提示词/编码提示，不是 user utterance semantic-equivalence；也不关注偏好权重漂移或 route choice invariance。</x:v>
      </x:c>
      <x:c r="O9" s="26" t="str">
        <x:v>否：不能声称首次 formal planning with solver；不能泛称首次 planning paraphrase robustness。</x:v>
      </x:c>
      <x:c r="P9" s="26" t="str">
        <x:v>可以更窄地声称：评估 user-side implicit preference paraphrases 对 preference representation 和 route decisions 的 propagation effect。</x:v>
      </x:c>
      <x:c r="Q9" s="26" t="str">
        <x:v>实验设计必须明确区分 system-prompt robustness 与 user-utterance robustness；固定系统 prompt，只变用户表达。</x:v>
      </x:c>
      <x:c r="R9" s="26" t="str">
        <x:v>https://aclanthology.org/2025.naacl-long.176/ ; https://aclanthology.org/2025.naacl-long.176.pdf</x:v>
      </x:c>
      <x:c r="S9" s="26" t="str">
        <x:v>精读完成</x:v>
      </x:c>
      <x:c r="T9" s="26" t="str">
        <x:v>这是 robustness pivot 最重要的正面对照；论文写作时必须主动说明 paraphrase 对象不同。</x:v>
      </x:c>
    </x:row>
    <x:row r="10" ht="88" customHeight="1">
      <x:c r="A10" s="26" t="n">
        <x:v>12</x:v>
      </x:c>
      <x:c r="B10" s="26" t="str">
        <x:v>LAPPI</x:v>
      </x:c>
      <x:c r="C10" s="26" t="str">
        <x:v>IEEE Access 2026</x:v>
      </x:c>
      <x:c r="D10" s="26" t="n">
        <x:v>4</x:v>
      </x:c>
      <x:c r="E10" s="26" t="str">
        <x:v>把交互式优化的边界前移到 problem instantiation：让用户用模糊自然语言表达偏好，LLM 构造候选项、数值 preference scores 与 constraints，再交给既有 solver。</x:v>
      </x:c>
      <x:c r="F10" s="26" t="str">
        <x:v>candidate set；preference scores；constraints；用户通过对话迭代修改。</x:v>
      </x:c>
      <x:c r="G10" s="26" t="str">
        <x:v>是：vague preferences 是核心起点，但主要是交互逐步澄清，而非一次性隐式 utterance。</x:v>
      </x:c>
      <x:c r="H10" s="26" t="str">
        <x:v>Trip planning 使用 Google Maps data + Gurobi route optimization；另扩展到 meal planning。</x:v>
      </x:c>
      <x:c r="I10" s="26" t="str">
        <x:v>12人 trip-planning user study；另有定量比较。</x:v>
      </x:c>
      <x:c r="J10" s="26" t="str">
        <x:v>用户主观量表（效率、容易程度、偏好反映、信心、路线合理性）+ 时间预算偏差、constraint success、reward/visited POIs。</x:v>
      </x:c>
      <x:c r="K10" s="26" t="str">
        <x:v>没有 controlled paraphrase invariance benchmark。</x:v>
      </x:c>
      <x:c r="L10" s="26" t="str">
        <x:v>时间预算平均偏差 0.55h vs GPT-4 prompt engineering 1.8h；时间约束成功率100% vs 96%。</x:v>
      </x:c>
      <x:c r="M10" s="26" t="str">
        <x:v>高：直接覆盖“vague NL preferences→solver-ready optimization problem”，所以 structured grounding 框架本身不新。</x:v>
      </x:c>
      <x:c r="N10" s="26" t="str">
        <x:v>它研究的是如何通过交互把问题实例化得更好，而不是固定 gold semantics 下的语言表达稳定性。</x:v>
      </x:c>
      <x:c r="O10" s="26" t="str">
        <x:v>否：不能声称首次 vague preference→structured optimization instance→solver。</x:v>
      </x:c>
      <x:c r="P10" s="26" t="str">
        <x:v>可强调 diagnostic benchmark：在不允许多轮澄清时，测模型是否对等价隐式表达产生稳定、可验证的 route objective；再把 clarification 做可选扩展。</x:v>
      </x:c>
      <x:c r="Q10" s="26" t="str">
        <x:v>如果加入 clarification，只在模型高不确定/多次解析不一致时触发，用 LAPPI 作为 interactive optimization 对照。</x:v>
      </x:c>
      <x:c r="R10" s="26" t="str">
        <x:v>https://omron-sinicx.github.io/lappi/ ; https://arxiv.org/abs/2512.14138</x:v>
      </x:c>
      <x:c r="S10" s="26" t="str">
        <x:v>精读完成</x:v>
      </x:c>
      <x:c r="T10" s="26" t="str">
        <x:v>LAPPI 说明第三创新若做“互动澄清”必须非常克制，否则容易再次撞题。</x:v>
      </x:c>
    </x:row>
    <x:row r="11" ht="88" customHeight="1">
      <x:c r="A11" s="26" t="n">
        <x:v>14</x:v>
      </x:c>
      <x:c r="B11" s="26" t="str">
        <x:v>Intent2Drive</x:v>
      </x:c>
      <x:c r="C11" s="26" t="str">
        <x:v>arXiv 2026</x:v>
      </x:c>
      <x:c r="D11" s="26" t="n">
        <x:v>4</x:v>
      </x:c>
      <x:c r="E11" s="26" t="str">
        <x:v>提出 holistic passenger intent understanding：综合显式语言、个人属性、情绪/身体状态、行为与场景，推断结构化 latent passenger state，再构造 planner-compatible passenger intent objective，进入 route/trajectory 两层规划。</x:v>
      </x:c>
      <x:c r="F11" s="26" t="str">
        <x:v>LPS：Goal/Urgency/Condition/Preference/Risk Tolerance；PIO：Trip Objective + Driving Objective。</x:v>
      </x:c>
      <x:c r="G11" s="26" t="str">
        <x:v>是，而且比单语言更广：explicit intent + implicit passenger cues。</x:v>
      </x:c>
      <x:c r="H11" s="26" t="str">
        <x:v>Hierarchical intent-conditioned planner；route policy + trajectory diffusion planner；nuPlan closed-loop。</x:v>
      </x:c>
      <x:c r="I11" s="26" t="str">
        <x:v>HPID：226 unique participants，1,120 retained samples；held-out 240 samples；nuPlan Val14/Test14。</x:v>
      </x:c>
      <x:c r="J11" s="26" t="str">
        <x:v>LPS/PIO field-level accuracy；ablation；nuPlan official closed-loop score。</x:v>
      </x:c>
      <x:c r="K11" s="26" t="str">
        <x:v>未以 paraphrase / linguistic invariance 为核心。</x:v>
      </x:c>
      <x:c r="L11" s="26" t="str">
        <x:v>Ours Preference accuracy 84.58%，Risk Tolerance 90.42%；PIO Trip 81.25%，Driving 85.42%；nuPlan Val14 NR/R 93.02/84.05。</x:v>
      </x:c>
      <x:c r="M11" s="26" t="str">
        <x:v>高：直接威胁你毕业论文“大叙事”——implicit human intent→planner-compatible objective→route/trajectory planning。</x:v>
      </x:c>
      <x:c r="N11" s="26" t="str">
        <x:v>它的 implicit cues 很多来自非语言状态与场景，不研究同一语言意图在不同表达下的稳定性；也不是 route-preference-specific benchmark。</x:v>
      </x:c>
      <x:c r="O11" s="26" t="str">
        <x:v>否：不能声称首次 implicit passenger intent→planner-compatible driving objective。</x:v>
      </x:c>
      <x:c r="P11" s="26" t="str">
        <x:v>小论文可保持窄：route-preference linguistic invariance；毕业论文则需要进一步找到长程/多任务/交互式规划上的差异化贡献。</x:v>
      </x:c>
      <x:c r="Q11" s="26" t="str">
        <x:v>当前小论文不要扩展到 holistic passenger state；先把 utterance-level robustness 做深、做可验证。</x:v>
      </x:c>
      <x:c r="R11" s="26" t="str">
        <x:v>https://arxiv.org/abs/2607.04670 ; https://arxiv.org/pdf/2607.04670</x:v>
      </x:c>
      <x:c r="S11" s="26" t="str">
        <x:v>精读完成</x:v>
      </x:c>
      <x:c r="T11" s="26" t="str">
        <x:v>对当前小论文不是致命，但对后续博士/毕业论文 framing 是强提醒。</x:v>
      </x:c>
    </x:row>
  </x:sheetData>
  <x:mergeCells>
    <x:mergeCell ref="A1:T1"/>
    <x:mergeCell ref="A2:T2"/>
  </x:mergeCells>
  <x:conditionalFormatting sqref="D5:D11">
    <x:cfRule type="colorScale" priority="1">
      <x:colorScale>
        <x:cfvo type="min"/>
        <x:cfvo type="percentile" val="50"/>
        <x:cfvo type="max"/>
        <x:color rgb="FFFFF2CC"/>
        <x:color rgb="FFF4CCCC"/>
        <x:color rgb="FFC00000"/>
      </x:colorScale>
    </x:cfRule>
  </x:conditionalFormatting>
  <x:conditionalFormatting sqref="O5:O11">
    <x:cfRule type="expression" dxfId="2" priority="2">
      <x:formula>LEFT(O5,1)="否"</x:formula>
    </x:cfRule>
  </x:conditionalFormatting>
  <x:conditionalFormatting sqref="S5:S11">
    <x:cfRule type="expression" dxfId="3" priority="3">
      <x:formula>S5="精读完成"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a2f0e97be24e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5" hidden="0" customWidth="1"/>
    <x:col min="4" max="4" width="28" hidden="0" customWidth="1"/>
    <x:col min="5" max="5" width="52" hidden="0" customWidth="1"/>
    <x:col min="6" max="6" width="14" hidden="0" customWidth="1"/>
    <x:col min="7" max="7" width="55" hidden="0" customWidth="1"/>
  </x:cols>
  <x:sheetData>
    <x:row r="1" ht="28" customHeight="1">
      <x:c r="A1" s="66" t="str">
        <x:v>Novelty Claim Safety Matrix — 现在到底还能 claim 什么？</x:v>
      </x:c>
      <x:c r="B1" s="66"/>
      <x:c r="C1" s="66"/>
      <x:c r="D1" s="66"/>
      <x:c r="E1" s="66"/>
      <x:c r="F1" s="66"/>
      <x:c r="G1" s="66"/>
    </x:row>
    <x:row r="2" ht="38" customHeight="1">
      <x:c r="A2" s="77" t="str">
        <x:v>这是第二轮筛查后的核心决策表。结论是：框架型创新基本已被占据，真正值得继续押注的是“语言等价性 → preference 表示 → route 决策”的误差传播与鲁棒性。</x:v>
      </x:c>
      <x:c r="B2" s="77"/>
      <x:c r="C2" s="77"/>
      <x:c r="D2" s="77"/>
      <x:c r="E2" s="77"/>
      <x:c r="F2" s="77"/>
      <x:c r="G2" s="77"/>
    </x:row>
    <x:row r="4">
      <x:c r="A4" s="81" t="str">
        <x:v>Claim ID</x:v>
      </x:c>
      <x:c r="B4" s="81" t="str">
        <x:v>原方案 / 候选创新</x:v>
      </x:c>
      <x:c r="C4" s="81" t="str">
        <x:v>具体 Claim</x:v>
      </x:c>
      <x:c r="D4" s="81" t="str">
        <x:v>当前安全性</x:v>
      </x:c>
      <x:c r="E4" s="81" t="str">
        <x:v>主要 Prior Art / 原因</x:v>
      </x:c>
      <x:c r="F4" s="81" t="str">
        <x:v>Collision Score</x:v>
      </x:c>
      <x:c r="G4" s="81" t="str">
        <x:v>建议处理</x:v>
      </x:c>
    </x:row>
    <x:row r="5" ht="62" customHeight="1">
      <x:c r="A5" s="26" t="str">
        <x:v>C1</x:v>
      </x:c>
      <x:c r="B5" s="26" t="str">
        <x:v>Structured Preference Grounding</x:v>
      </x:c>
      <x:c r="C5" s="26" t="str">
        <x:v>Implicit NL → structured preference vector / constraints</x:v>
      </x:c>
      <x:c r="D5" s="26" t="str">
        <x:v>否</x:v>
      </x:c>
      <x:c r="E5" s="26" t="str">
        <x:v>LLMAP、RouteLLM、PTS、LAPPI 已直接覆盖</x:v>
      </x:c>
      <x:c r="F5" s="26" t="n">
        <x:v>5</x:v>
      </x:c>
      <x:c r="G5" s="26" t="str">
        <x:v>不要作为 contribution；只作为实验接口/可验证中间层。</x:v>
      </x:c>
    </x:row>
    <x:row r="6" ht="62" customHeight="1">
      <x:c r="A6" s="26" t="str">
        <x:v>C2</x:v>
      </x:c>
      <x:c r="B6" s="26" t="str">
        <x:v>Soft vs Hard Constraint Distinction</x:v>
      </x:c>
      <x:c r="C6" s="26" t="str">
        <x:v>把“尽量”与“绝对”分成 soft/hard 并进入 routing</x:v>
      </x:c>
      <x:c r="D6" s="26" t="str">
        <x:v>否</x:v>
      </x:c>
      <x:c r="E6" s="26" t="str">
        <x:v>RouteLLM 直接用 0/0.5/1，1 作为 hard requirement；Travel/optimization 文献也已广泛使用</x:v>
      </x:c>
      <x:c r="F6" s="26" t="n">
        <x:v>5</x:v>
      </x:c>
      <x:c r="G6" s="26" t="str">
        <x:v>把它转化为 robustness stress test：最值得测的是 soft↔hard boundary 的 constraint flip。</x:v>
      </x:c>
    </x:row>
    <x:row r="7" ht="62" customHeight="1">
      <x:c r="A7" s="26" t="str">
        <x:v>C3</x:v>
      </x:c>
      <x:c r="B7" s="26" t="str">
        <x:v>LLM + Deterministic Solver Decoupling</x:v>
      </x:c>
      <x:c r="C7" s="26" t="str">
        <x:v>LLM理解语言，solver负责最优/可行决策</x:v>
      </x:c>
      <x:c r="D7" s="26" t="str">
        <x:v>否</x:v>
      </x:c>
      <x:c r="E7" s="26" t="str">
        <x:v>LLMAP、NAACL Formal Planner、PTS、LAPPI</x:v>
      </x:c>
      <x:c r="F7" s="26" t="n">
        <x:v>5</x:v>
      </x:c>
      <x:c r="G7" s="26" t="str">
        <x:v>作为控制变量：用它隔离语言 grounding error 与 route optimization error。</x:v>
      </x:c>
    </x:row>
    <x:row r="8" ht="62" customHeight="1">
      <x:c r="A8" s="26" t="str">
        <x:v>C4</x:v>
      </x:c>
      <x:c r="B8" s="26" t="str">
        <x:v>Synthetic Implicit Route Benchmark</x:v>
      </x:c>
      <x:c r="C8" s="26" t="str">
        <x:v>模板 gold label → LLM 生成自然/隐式 route instructions</x:v>
      </x:c>
      <x:c r="D8" s="26" t="str">
        <x:v>否</x:v>
      </x:c>
      <x:c r="E8" s="26" t="str">
        <x:v>LLMAP 的 HIPP 已是 synthetic label→natural implicit instruction；RouteLLM 也有 synthetic map + GPT-4o queries</x:v>
      </x:c>
      <x:c r="F8" s="26" t="n">
        <x:v>5</x:v>
      </x:c>
      <x:c r="G8" s="26" t="str">
        <x:v>普通 synthetic benchmark 不够；必须加入 semantic-equivalence group structure 与更严格的验证。</x:v>
      </x:c>
    </x:row>
    <x:row r="9" ht="62" customHeight="1">
      <x:c r="A9" s="26" t="str">
        <x:v>C5</x:v>
      </x:c>
      <x:c r="B9" s="26" t="str">
        <x:v>Implicit Route Preference Paraphrase Robustness</x:v>
      </x:c>
      <x:c r="C9" s="26" t="str">
        <x:v>同一隐式 route preference 的等价表达是否稳定 grounding</x:v>
      </x:c>
      <x:c r="D9" s="26" t="str">
        <x:v>不能作为大 novelty；只能限定为 route-preference grounding robustness</x:v>
      </x:c>
      <x:c r="E9" s="26" t="str">
        <x:v>ICR-Drive 已在 CVPR 2026 Workshop 系统做 driving instruction 的 Paraphrase/Ambiguity/Noise/Misleading；NeurIPS 2023 已定义 semantically equivalent question-form consistency</x:v>
      </x:c>
      <x:c r="F9" s="26" t="n">
        <x:v>4</x:v>
      </x:c>
      <x:c r="G9" s="26" t="str">
        <x:v>把 C5 降级为问题背景/benchmark axis；不要再主打‘paraphrase robustness’，而应主打 preference representation 与 downstream route decision 之间的误差传播。</x:v>
      </x:c>
    </x:row>
    <x:row r="10" ht="62" customHeight="1">
      <x:c r="A10" s="26" t="str">
        <x:v>C6</x:v>
      </x:c>
      <x:c r="B10" s="26" t="str">
        <x:v>Preference-level → Decision-level Equivalence</x:v>
      </x:c>
      <x:c r="C10" s="26" t="str">
        <x:v>同语义表达不仅 preference 表示一致，而且最终 route choice / regret 也一致</x:v>
      </x:c>
      <x:c r="D10" s="26" t="str">
        <x:v>当前仍可守，但只能作为 domain-specific multi-level diagnostic</x:v>
      </x:c>
      <x:c r="E10" s="26" t="str">
        <x:v>一般 input-equivalence→decision consistency 已有 NeurIPS 2023、2026 reliability / recommender consistency 先例；但尚未发现 route preference grounding 中同时测 representation drift→constraint flip→route flip→regret 的工作</x:v>
      </x:c>
      <x:c r="F10" s="26" t="n">
        <x:v>3</x:v>
      </x:c>
      <x:c r="G10" s="26" t="str">
        <x:v>建议成为主 contribution，但措辞不要用 first-ever semantic invariance；写成 route-preference-specific multi-level robustness benchmark / error-propagation analysis。</x:v>
      </x:c>
    </x:row>
    <x:row r="11" ht="62" customHeight="1">
      <x:c r="A11" s="26" t="str">
        <x:v>C7</x:v>
      </x:c>
      <x:c r="B11" s="26" t="str">
        <x:v>Uncertainty-aware Clarification</x:v>
      </x:c>
      <x:c r="C11" s="26" t="str">
        <x:v>检测不稳定/欠明确 grounding 后主动追问</x:v>
      </x:c>
      <x:c r="D11" s="26" t="str">
        <x:v>可选次创新，且需限定触发机制</x:v>
      </x:c>
      <x:c r="E11" s="26" t="str">
        <x:v>LAPPI / APRICOT / QuestBench 已覆盖 clarification；2026 preference elicitation 也大量研究 uncertainty / abstention</x:v>
      </x:c>
      <x:c r="F11" s="26" t="n">
        <x:v>3</x:v>
      </x:c>
      <x:c r="G11" s="26" t="str">
        <x:v>若保留，限定为 consistency-triggered clarification：仅当多个语义等价解析之间出现高 disagreement / hard-soft flip 时追问。</x:v>
      </x:c>
    </x:row>
  </x:sheetData>
  <x:mergeCells>
    <x:mergeCell ref="A1:G1"/>
    <x:mergeCell ref="A2:G2"/>
  </x:mergeCells>
  <x:conditionalFormatting sqref="F5:F1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D5:D11">
    <x:cfRule type="expression" dxfId="4" priority="2">
      <x:formula>LEFT(D5,1)="否"</x:formula>
    </x:cfRule>
    <x:cfRule type="expression" dxfId="5" priority="3">
      <x:formula>LEFT(D5,4)="当前最值"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5c259905b342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8" hidden="0" customWidth="1"/>
    <x:col min="4" max="4" width="11" hidden="0" customWidth="1"/>
    <x:col min="5" max="5" width="42" hidden="0" customWidth="1"/>
    <x:col min="6" max="6" width="20" hidden="0" customWidth="1"/>
    <x:col min="7" max="7" width="28" hidden="0" customWidth="1"/>
    <x:col min="8" max="8" width="42" hidden="0" customWidth="1"/>
    <x:col min="9" max="9" width="18" hidden="0" customWidth="1"/>
    <x:col min="10" max="10" width="25" hidden="0" customWidth="1"/>
    <x:col min="11" max="11" width="24" hidden="0" customWidth="1"/>
    <x:col min="12" max="12" width="27" hidden="0" customWidth="1"/>
    <x:col min="13" max="13" width="40" hidden="0" customWidth="1"/>
    <x:col min="14" max="14" width="44" hidden="0" customWidth="1"/>
    <x:col min="15" max="15" width="44" hidden="0" customWidth="1"/>
    <x:col min="16" max="16" width="44" hidden="0" customWidth="1"/>
    <x:col min="17" max="17" width="34" hidden="0" customWidth="1"/>
    <x:col min="18" max="18" width="48" hidden="0" customWidth="1"/>
    <x:col min="19" max="19" width="18" hidden="0" customWidth="1"/>
  </x:cols>
  <x:sheetData>
    <x:row r="1" ht="28" customHeight="1">
      <x:c r="A1" s="97" t="str">
        <x:v>Round 3 — Exact Gap Stress Test：语言等价性 × Route / Driving Decision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</x:row>
    <x:row r="2" ht="42" customHeight="1">
      <x:c r="A2" s="100" t="str">
        <x:v>本轮只回答一个问题：是否已有工作直接研究“同一用户路线偏好的语义等价表达 → 中间 preference/constraint 表示变化 → 最终路线选择变化”？结论：仍未发现完全同构工作，但 ICR-Drive 显著压缩了语言鲁棒性的大叙事空间。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</x:row>
    <x:row r="4" ht="40" customHeight="1">
      <x:c r="A4" s="105" t="str">
        <x:v>ID</x:v>
      </x:c>
      <x:c r="B4" s="105" t="str">
        <x:v>分层</x:v>
      </x:c>
      <x:c r="C4" s="105" t="str">
        <x:v>Threat</x:v>
      </x:c>
      <x:c r="D4" s="105" t="str">
        <x:v>引用优先级</x:v>
      </x:c>
      <x:c r="E4" s="105" t="str">
        <x:v>论文</x:v>
      </x:c>
      <x:c r="F4" s="105" t="str">
        <x:v>年份 / Venue</x:v>
      </x:c>
      <x:c r="G4" s="105" t="str">
        <x:v>研究对象</x:v>
      </x:c>
      <x:c r="H4" s="105" t="str">
        <x:v>输入变化 / Preference 来源</x:v>
      </x:c>
      <x:c r="I4" s="105" t="str">
        <x:v>是否 route/driving specific?</x:v>
      </x:c>
      <x:c r="J4" s="105" t="str">
        <x:v>是否 semantic-equivalent / paraphrase?</x:v>
      </x:c>
      <x:c r="K4" s="105" t="str">
        <x:v>是否看 downstream action/decision?</x:v>
      </x:c>
      <x:c r="L4" s="105" t="str">
        <x:v>是否有中间 preference representation?</x:v>
      </x:c>
      <x:c r="M4" s="105" t="str">
        <x:v>关键实验 / 指标</x:v>
      </x:c>
      <x:c r="N4" s="105" t="str">
        <x:v>与我们当前 C5/C6 的重合</x:v>
      </x:c>
      <x:c r="O4" s="105" t="str">
        <x:v>没有覆盖的地方</x:v>
      </x:c>
      <x:c r="P4" s="105" t="str">
        <x:v>对 Novelty Claim 的影响</x:v>
      </x:c>
      <x:c r="Q4" s="105" t="str">
        <x:v>建议在论文中的角色</x:v>
      </x:c>
      <x:c r="R4" s="105" t="str">
        <x:v>Source URL</x:v>
      </x:c>
      <x:c r="S4" s="105" t="str">
        <x:v>当前判断</x:v>
      </x:c>
    </x:row>
    <x:row r="5" ht="78" customHeight="1">
      <x:c r="A5" s="26" t="n">
        <x:v>21</x:v>
      </x:c>
      <x:c r="B5" s="26" t="str">
        <x:v>A 直接威胁当前 pivot</x:v>
      </x:c>
      <x:c r="C5" s="26" t="n">
        <x:v>5</x:v>
      </x:c>
      <x:c r="D5" s="26" t="str">
        <x:v>必引</x:v>
      </x:c>
      <x:c r="E5" s="26" t="str">
        <x:v>ICR-Drive: Instruction Counterfactual Robustness for End-to-End Language-Driven Autonomous Driving</x:v>
      </x:c>
      <x:c r="F5" s="26" t="str">
        <x:v>2026 / CVPR Workshops</x:v>
      </x:c>
      <x:c r="G5" s="26" t="str">
        <x:v>语言驱动自动驾驶 VLA；LMDrive / BEVDriver；CARLA LangAuto</x:v>
      </x:c>
      <x:c r="H5" s="26" t="str">
        <x:v>固定相同 CARLA route + seed，只改变自然语言指令；四类：Paraphrase / Ambiguity / Noise / Misleading</x:v>
      </x:c>
      <x:c r="I5" s="26" t="str">
        <x:v>是：自动驾驶</x:v>
      </x:c>
      <x:c r="J5" s="26" t="str">
        <x:v>是：Paraphrase 明确为 goal-preserving；另含 ambiguity/noise/misleading</x:v>
      </x:c>
      <x:c r="K5" s="26" t="str">
        <x:v>是：Driving Score / Route Completion / Infraction 等 closed-loop 行为</x:v>
      </x:c>
      <x:c r="L5" s="26" t="str">
        <x:v>否：端到端 instruction→control，不显式抽取 route preference vector / hard-soft constraints</x:v>
      </x:c>
      <x:c r="M5" s="26" t="str">
        <x:v>每条 route 每类 K=8 variants；比较相对 baseline 的性能下降；goal-preserving 语言变化也会显著降低 driving performance</x:v>
      </x:c>
      <x:c r="N5" s="26" t="str">
        <x:v>高度重合“同一语义的语言变化→下游驾驶行为改变”这一 robustness 大叙事；也与你原计划的 paraphrase/noise/ambiguous taxonomy 非常接近</x:v>
      </x:c>
      <x:c r="O5" s="26" t="str">
        <x:v>不研究“隐式路线偏好”的语义 grounding；没有 preference-level representation；不能定位 preference drift / constraint flip 如何传播为 route flip</x:v>
      </x:c>
      <x:c r="P5" s="26" t="str">
        <x:v>C5 不能再写成‘首次研究 driving/navigation instruction paraphrase robustness’；C6 仍有空间，但必须突出 intermediate grounding + error propagation</x:v>
      </x:c>
      <x:c r="Q5" s="26" t="str">
        <x:v>Introduction 正面引用；作为最强 domain-adjacent robustness baseline / motivation</x:v>
      </x:c>
      <x:c r="R5" s="26" t="str">
        <x:v>https://openaccess.thecvf.com/content/CVPR2026W/WDFM-EAI/html/Hamid_ICR-Drive_Instruction_Counterfactual_Robustness_for_End-to-End_Language-Driven_Autonomous_Driving_CVPRW_2026_paper.html</x:v>
      </x:c>
      <x:c r="S5" s="26" t="str">
        <x:v>新增后最危险的一篇</x:v>
      </x:c>
    </x:row>
    <x:row r="6" ht="78" customHeight="1">
      <x:c r="A6" s="26" t="n">
        <x:v>22</x:v>
      </x:c>
      <x:c r="B6" s="26" t="str">
        <x:v>D Robustness / 理论先例</x:v>
      </x:c>
      <x:c r="C6" s="26" t="n">
        <x:v>4</x:v>
      </x:c>
      <x:c r="D6" s="26" t="str">
        <x:v>必引</x:v>
      </x:c>
      <x:c r="E6" s="26" t="str">
        <x:v>Evaluating the Moral Beliefs Encoded in LLMs</x:v>
      </x:c>
      <x:c r="F6" s="26" t="str">
        <x:v>2023 / NeurIPS Main</x:v>
      </x:c>
      <x:c r="G6" s="26" t="str">
        <x:v>LLM moral choice / preference elicitation</x:v>
      </x:c>
      <x:c r="H6" s="26" t="str">
        <x:v>同一 scenario 使用保持语义等价的不同 question forms；研究 wording sensitivity</x:v>
      </x:c>
      <x:c r="I6" s="26" t="str">
        <x:v>否</x:v>
      </x:c>
      <x:c r="J6" s="26" t="str">
        <x:v>是：明确 formalize semantically equivalent question forms</x:v>
      </x:c>
      <x:c r="K6" s="26" t="str">
        <x:v>是：映射到 action likelihood / choice distribution</x:v>
      </x:c>
      <x:c r="L6" s="26" t="str">
        <x:v>部分：定义 action likelihood、marginal action likelihood，而非 route preference vector</x:v>
      </x:c>
      <x:c r="M6" s="26" t="str">
        <x:v>提出 Question-Form Consistency (QF-C)、Action Entropy、Marginal Action Entropy；28 个 LLM；高/低 ambiguity moral scenarios</x:v>
      </x:c>
      <x:c r="N6" s="26" t="str">
        <x:v>概念上非常接近‘语义等价输入是否保持决策等价’，且已有 consistency + uncertainty 数学定义</x:v>
      </x:c>
      <x:c r="O6" s="26" t="str">
        <x:v>没有 route/planning；没有显式“语言→结构化 preference→solver→decision”的误差链</x:v>
      </x:c>
      <x:c r="P6" s="26" t="str">
        <x:v>C6 不能声称首次提出 semantic-equivalent input→decision consistency；我们的 novelty 必须是 route-preference grounding 的多层误差传播</x:v>
      </x:c>
      <x:c r="Q6" s="26" t="str">
        <x:v>Metrics 理论基础；可借鉴 QF-C / entropy 思路</x:v>
      </x:c>
      <x:c r="R6" s="26" t="str">
        <x:v>https://proceedings.neurips.cc/paper_files/paper/2023/hash/a2cf225ba392627529efef14dc857e22-Abstract-Conference.html</x:v>
      </x:c>
      <x:c r="S6" s="26" t="str">
        <x:v>必须纳入指标设计</x:v>
      </x:c>
    </x:row>
    <x:row r="7" ht="78" customHeight="1">
      <x:c r="A7" s="26" t="n">
        <x:v>23</x:v>
      </x:c>
      <x:c r="B7" s="26" t="str">
        <x:v>D Robustness</x:v>
      </x:c>
      <x:c r="C7" s="26" t="n">
        <x:v>3</x:v>
      </x:c>
      <x:c r="D7" s="26" t="str">
        <x:v>强烈建议</x:v>
      </x:c>
      <x:c r="E7" s="26" t="str">
        <x:v>Same Question, Different Answers: Evaluating LLM Reliability Beyond Accuracy</x:v>
      </x:c>
      <x:c r="F7" s="26" t="str">
        <x:v>2026 / arXiv</x:v>
      </x:c>
      <x:c r="G7" s="26" t="str">
        <x:v>事实问答 + 数学推理</x:v>
      </x:c>
      <x:c r="H7" s="26" t="str">
        <x:v>meaning-preserving paraphrases；同一问题多种等价表达</x:v>
      </x:c>
      <x:c r="I7" s="26" t="str">
        <x:v>否</x:v>
      </x:c>
      <x:c r="J7" s="26" t="str">
        <x:v>是</x:v>
      </x:c>
      <x:c r="K7" s="26" t="str">
        <x:v>是：answer flip / mismatch</x:v>
      </x:c>
      <x:c r="L7" s="26" t="str">
        <x:v>否</x:v>
      </x:c>
      <x:c r="M7" s="26" t="str">
        <x:v>4 个 benchmarks、13 个 models；mismatch rate 可超过 23%；强调 accuracy 不足以描述 instance-level reliability</x:v>
      </x:c>
      <x:c r="N7" s="26" t="str">
        <x:v>强化‘不能只看平均 accuracy，要看同一语义实例的 flip’这一评估哲学</x:v>
      </x:c>
      <x:c r="O7" s="26" t="str">
        <x:v>不涉及 preference，也不涉及 downstream optimizer / route decision</x:v>
      </x:c>
      <x:c r="P7" s="26" t="str">
        <x:v>支持 Route Flip Rate / instance-level consistency 的必要性，但不能把‘answer/decision flip under paraphrase’当新概念</x:v>
      </x:c>
      <x:c r="Q7" s="26" t="str">
        <x:v>Related Work / Metrics motivation</x:v>
      </x:c>
      <x:c r="R7" s="26" t="str">
        <x:v>https://arxiv.org/abs/2607.22554</x:v>
      </x:c>
      <x:c r="S7" s="26" t="str">
        <x:v>通用 robustness 先例</x:v>
      </x:c>
    </x:row>
    <x:row r="8" ht="78" customHeight="1">
      <x:c r="A8" s="26" t="n">
        <x:v>24</x:v>
      </x:c>
      <x:c r="B8" s="26" t="str">
        <x:v>D Preference Consistency</x:v>
      </x:c>
      <x:c r="C8" s="26" t="n">
        <x:v>3</x:v>
      </x:c>
      <x:c r="D8" s="26" t="str">
        <x:v>强烈建议</x:v>
      </x:c>
      <x:c r="E8" s="26" t="str">
        <x:v>Position Bias Undermines Preference Consistency in Listwise LLM-Based Reranking</x:v>
      </x:c>
      <x:c r="F8" s="26" t="str">
        <x:v>2026 / arXiv</x:v>
      </x:c>
      <x:c r="G8" s="26" t="str">
        <x:v>LLM 推荐系统 reranking</x:v>
      </x:c>
      <x:c r="H8" s="26" t="str">
        <x:v>对同一 unordered candidate set 做 equivalent permutations</x:v>
      </x:c>
      <x:c r="I8" s="26" t="str">
        <x:v>否（推荐系统）</x:v>
      </x:c>
      <x:c r="J8" s="26" t="str">
        <x:v>不是 paraphrase，但属于等价输入变换</x:v>
      </x:c>
      <x:c r="K8" s="26" t="str">
        <x:v>是：pairwise preference、global preference、final ranking</x:v>
      </x:c>
      <x:c r="L8" s="26" t="str">
        <x:v>是：将 output 看成 induced preference system</x:v>
      </x:c>
      <x:c r="M8" s="26" t="str">
        <x:v>提出 pairwise preference instability、global preference inconsistency、listwise output consistency；多模型、多数据集</x:v>
      </x:c>
      <x:c r="N8" s="26" t="str">
        <x:v>结构上很接近我们要做的 multi-level consistency：内部 preference system 与最终 output 可以分别不稳定</x:v>
      </x:c>
      <x:c r="O8" s="26" t="str">
        <x:v>输入变化是 candidate order 而非自然语言语义等价；没有 route cost / hard constraint</x:v>
      </x:c>
      <x:c r="P8" s="26" t="str">
        <x:v>C6 的‘多层 consistency’不应宣称为一般方法创新；应强调 route-specific preference representation→route choice propagation</x:v>
      </x:c>
      <x:c r="Q8" s="26" t="str">
        <x:v>Metrics / conceptual related work</x:v>
      </x:c>
      <x:c r="R8" s="26" t="str">
        <x:v>https://arxiv.org/abs/2608.03091</x:v>
      </x:c>
      <x:c r="S8" s="26" t="str">
        <x:v>对指标分层很有启发</x:v>
      </x:c>
    </x:row>
    <x:row r="9" ht="78" customHeight="1">
      <x:c r="A9" s="26" t="n">
        <x:v>25</x:v>
      </x:c>
      <x:c r="B9" s="26" t="str">
        <x:v>C 路线决策背景</x:v>
      </x:c>
      <x:c r="C9" s="26" t="n">
        <x:v>2</x:v>
      </x:c>
      <x:c r="D9" s="26" t="str">
        <x:v>建议</x:v>
      </x:c>
      <x:c r="E9" s="26" t="str">
        <x:v>Agentic Large Language Models for Day-to-Day Route Choices</x:v>
      </x:c>
      <x:c r="F9" s="26" t="str">
        <x:v>2025 / Transportation Research Part C</x:v>
      </x:c>
      <x:c r="G9" s="26" t="str">
        <x:v>LLM 模拟人类日常 route choice</x:v>
      </x:c>
      <x:c r="H9" s="26" t="str">
        <x:v>persona + memory + 过去 travel time / experience；让 LLM 在 route alternatives 中选择</x:v>
      </x:c>
      <x:c r="I9" s="26" t="str">
        <x:v>是：route choice</x:v>
      </x:c>
      <x:c r="J9" s="26" t="str">
        <x:v>否</x:v>
      </x:c>
      <x:c r="K9" s="26" t="str">
        <x:v>是：直接 route choice</x:v>
      </x:c>
      <x:c r="L9" s="26" t="str">
        <x:v>否</x:v>
      </x:c>
      <x:c r="M9" s="26" t="str">
        <x:v>比较 LLMTraveler 与实验行为、MNL/RL 等；研究 day-to-day adaptive route switching</x:v>
      </x:c>
      <x:c r="N9" s="26" t="str">
        <x:v>证明 LLM 已被用于直接 route-choice behavioral modeling</x:v>
      </x:c>
      <x:c r="O9" s="26" t="str">
        <x:v>不研究自然语言 user instruction，不研究 paraphrase，不做 preference grounding</x:v>
      </x:c>
      <x:c r="P9" s="26" t="str">
        <x:v>削弱任何‘LLM 首次用于 route choice’表述，但不威胁 C6</x:v>
      </x:c>
      <x:c r="Q9" s="26" t="str">
        <x:v>Transportation-domain background</x:v>
      </x:c>
      <x:c r="R9" s="26" t="str">
        <x:v>https://www.sciencedirect.com/science/article/pii/S0968090X25003110</x:v>
      </x:c>
      <x:c r="S9" s="26" t="str">
        <x:v>低威胁</x:v>
      </x:c>
    </x:row>
    <x:row r="10" ht="78" customHeight="1">
      <x:c r="A10" s="26" t="n">
        <x:v>26</x:v>
      </x:c>
      <x:c r="B10" s="26" t="str">
        <x:v>C 传统路线偏好</x:v>
      </x:c>
      <x:c r="C10" s="26" t="n">
        <x:v>1</x:v>
      </x:c>
      <x:c r="D10" s="26" t="str">
        <x:v>建议</x:v>
      </x:c>
      <x:c r="E10" s="26" t="str">
        <x:v>Personalized route recommendation for ride-hailing with deep inverse reinforcement learning and real-time traffic conditions</x:v>
      </x:c>
      <x:c r="F10" s="26" t="str">
        <x:v>2022 / Transportation Research Part E</x:v>
      </x:c>
      <x:c r="G10" s="26" t="str">
        <x:v>个性化 route recommendation</x:v>
      </x:c>
      <x:c r="H10" s="26" t="str">
        <x:v>从历史 GPS trajectories + traffic 学习用户潜在 reward / route preference</x:v>
      </x:c>
      <x:c r="I10" s="26" t="str">
        <x:v>是</x:v>
      </x:c>
      <x:c r="J10" s="26" t="str">
        <x:v>否</x:v>
      </x:c>
      <x:c r="K10" s="26" t="str">
        <x:v>是：个性化 route recommendation</x:v>
      </x:c>
      <x:c r="L10" s="26" t="str">
        <x:v>是：latent reward function，但不是语言 grounding</x:v>
      </x:c>
      <x:c r="M10" s="26" t="str">
        <x:v>Deep IRL；真实 ride-hailing trajectories；实时 traffic；评价 route recommendation</x:v>
      </x:c>
      <x:c r="N10" s="26" t="str">
        <x:v>说明 route preference learning 早已成熟，尤其 latent preference→reward→route</x:v>
      </x:c>
      <x:c r="O10" s="26" t="str">
        <x:v>不使用自然语言、LLM 或 semantic-equivalent expressions</x:v>
      </x:c>
      <x:c r="P10" s="26" t="str">
        <x:v>帮助把我们的 novelty 收窄到 linguistic grounding robustness，而不是 route preference learning 本身</x:v>
      </x:c>
      <x:c r="Q10" s="26" t="str">
        <x:v>经典 transportation related work</x:v>
      </x:c>
      <x:c r="R10" s="26" t="str">
        <x:v>https://www.sciencedirect.com/science/article/pii/S1366554522001715</x:v>
      </x:c>
      <x:c r="S10" s="26" t="str">
        <x:v>背景</x:v>
      </x:c>
    </x:row>
    <x:row r="11" ht="78" customHeight="1">
      <x:c r="A11" s="26" t="n">
        <x:v>27</x:v>
      </x:c>
      <x:c r="B11" s="26" t="str">
        <x:v>C 传统路线偏好</x:v>
      </x:c>
      <x:c r="C11" s="26" t="n">
        <x:v>2</x:v>
      </x:c>
      <x:c r="D11" s="26" t="str">
        <x:v>建议</x:v>
      </x:c>
      <x:c r="E11" s="26" t="str">
        <x:v>Path planning with user route preference - A reward surface approximation approach using orthogonal Legendre polynomials</x:v>
      </x:c>
      <x:c r="F11" s="26" t="str">
        <x:v>2016 / IEEE CASE</x:v>
      </x:c>
      <x:c r="G11" s="26" t="str">
        <x:v>自动驾驶 path planning + user route preference</x:v>
      </x:c>
      <x:c r="H11" s="26" t="str">
        <x:v>从有限 positive route demonstrations 学习用户偏好，允许原偏好不可行时选择替代路线</x:v>
      </x:c>
      <x:c r="I11" s="26" t="str">
        <x:v>是</x:v>
      </x:c>
      <x:c r="J11" s="26" t="str">
        <x:v>否</x:v>
      </x:c>
      <x:c r="K11" s="26" t="str">
        <x:v>是：route planning</x:v>
      </x:c>
      <x:c r="L11" s="26" t="str">
        <x:v>是：learned reward surface</x:v>
      </x:c>
      <x:c r="M11" s="26" t="str">
        <x:v>从 demonstrations 学习 reward / preference，再做 path planning</x:v>
      </x:c>
      <x:c r="N11" s="26" t="str">
        <x:v>进一步证明‘隐含 route preference→可计算 reward→planner’并非 LLM 时代才出现</x:v>
      </x:c>
      <x:c r="O11" s="26" t="str">
        <x:v>没有自然语言 / utterance-level implicit semantics / robustness</x:v>
      </x:c>
      <x:c r="P11" s="26" t="str">
        <x:v>原论文 framing 应避免‘首次将隐式 route preference 转成 planner objective’</x:v>
      </x:c>
      <x:c r="Q11" s="26" t="str">
        <x:v>历史背景 / Problem motivation</x:v>
      </x:c>
      <x:c r="R11" s="26" t="str">
        <x:v>https://eprints.whiterose.ac.uk/id/eprint/162141/</x:v>
      </x:c>
      <x:c r="S11" s="26" t="str">
        <x:v>背景</x:v>
      </x:c>
    </x:row>
    <x:row r="12" ht="78" customHeight="1">
      <x:c r="A12" s="26" t="n">
        <x:v>28</x:v>
      </x:c>
      <x:c r="B12" s="26" t="str">
        <x:v>B NL Path Planning</x:v>
      </x:c>
      <x:c r="C12" s="26" t="n">
        <x:v>4</x:v>
      </x:c>
      <x:c r="D12" s="26" t="str">
        <x:v>强烈建议</x:v>
      </x:c>
      <x:c r="E12" s="26" t="str">
        <x:v>Constraint-aware Path Planning from Natural Language Instructions Using Large Language Models</x:v>
      </x:c>
      <x:c r="F12" s="26" t="str">
        <x:v>2026 / arXiv</x:v>
      </x:c>
      <x:c r="G12" s="26" t="str">
        <x:v>自然语言 constrained path planning</x:v>
      </x:c>
      <x:c r="H12" s="26" t="str">
        <x:v>用户 conversationally 描述 routing task；LLM 匹配已有 formulation 或推断新 formulation，并 iterative verify/refine</x:v>
      </x:c>
      <x:c r="I12" s="26" t="str">
        <x:v>是：path planning</x:v>
      </x:c>
      <x:c r="J12" s="26" t="str">
        <x:v>未见系统 paraphrase benchmark</x:v>
      </x:c>
      <x:c r="K12" s="26" t="str">
        <x:v>是：最终 path solution</x:v>
      </x:c>
      <x:c r="L12" s="26" t="str">
        <x:v>是：problem representation / formulation</x:v>
      </x:c>
      <x:c r="M12" s="26" t="str">
        <x:v>涵盖已知和 novel constrained path-planning formulations；solution generation + verification + iterative refinement</x:v>
      </x:c>
      <x:c r="N12" s="26" t="str">
        <x:v>继续压缩 NL→formal path-planning formulation 的 novelty 空间</x:v>
      </x:c>
      <x:c r="O12" s="26" t="str">
        <x:v>没有 route preference semantic-equivalence clusters，也不研究 preference drift / decision flip propagation</x:v>
      </x:c>
      <x:c r="P12" s="26" t="str">
        <x:v>再次说明框架型 NL→path problem formalization 不能作为贡献；C6 仍主要不受影响</x:v>
      </x:c>
      <x:c r="Q12" s="26" t="str">
        <x:v>Related Work：LLM for constrained path planning</x:v>
      </x:c>
      <x:c r="R12" s="26" t="str">
        <x:v>https://arxiv.org/abs/2603.19257</x:v>
      </x:c>
      <x:c r="S12" s="26" t="str">
        <x:v>中高威胁</x:v>
      </x:c>
    </x:row>
    <x:row r="13" ht="78" customHeight="1">
      <x:c r="A13" s="26" t="n">
        <x:v>29</x:v>
      </x:c>
      <x:c r="B13" s="26" t="str">
        <x:v>D Driving / robustness 邻近</x:v>
      </x:c>
      <x:c r="C13" s="26" t="n">
        <x:v>2</x:v>
      </x:c>
      <x:c r="D13" s="26" t="str">
        <x:v>建议</x:v>
      </x:c>
      <x:c r="E13" s="26" t="str">
        <x:v>LMM-enhanced Safety-Critical Scenario Generation for Autonomous Driving System Testing From Non-Accident Traffic Videos (LEADE)</x:v>
      </x:c>
      <x:c r="F13" s="26" t="str">
        <x:v>2024 / arXiv</x:v>
      </x:c>
      <x:c r="G13" s="26" t="str">
        <x:v>自动驾驶安全测试 / semantic-equivalent scenarios</x:v>
      </x:c>
      <x:c r="H13" s="26" t="str">
        <x:v>构造语义等价驾驶场景并观察 ADS 与人类驾驶行为差异</x:v>
      </x:c>
      <x:c r="I13" s="26" t="str">
        <x:v>是：自动驾驶</x:v>
      </x:c>
      <x:c r="J13" s="26" t="str">
        <x:v>是：scenario-level semantic equivalence，不是语言 paraphrase</x:v>
      </x:c>
      <x:c r="K13" s="26" t="str">
        <x:v>是：ADS behavior / safety violation</x:v>
      </x:c>
      <x:c r="L13" s="26" t="str">
        <x:v>否</x:v>
      </x:c>
      <x:c r="M13" s="26" t="str">
        <x:v>在 Apollo 上生成并搜索 semantically consistent/equivalent scenarios 的行为差异</x:v>
      </x:c>
      <x:c r="N13" s="26" t="str">
        <x:v>提示‘semantic-equivalence→behavioral invariance’在 autonomous driving testing 领域也已有先例</x:v>
      </x:c>
      <x:c r="O13" s="26" t="str">
        <x:v>等价的是交通 scenario，不是用户语言；不涉及 preference grounding</x:v>
      </x:c>
      <x:c r="P13" s="26" t="str">
        <x:v>不直接威胁，但写作时不要过度泛化‘首次在自动驾驶中研究 semantic equivalence robustness’</x:v>
      </x:c>
      <x:c r="Q13" s="26" t="str">
        <x:v>Broad robustness related work</x:v>
      </x:c>
      <x:c r="R13" s="26" t="str">
        <x:v>https://arxiv.org/abs/2406.10857</x:v>
      </x:c>
      <x:c r="S13" s="26" t="str">
        <x:v>邻近背景</x:v>
      </x:c>
    </x:row>
    <x:row r="14" ht="78" customHeight="1">
      <x:c r="A14" s="26" t="n">
        <x:v>30</x:v>
      </x:c>
      <x:c r="B14" s="26" t="str">
        <x:v>D 评估方法</x:v>
      </x:c>
      <x:c r="C14" s="26" t="n">
        <x:v>2</x:v>
      </x:c>
      <x:c r="D14" s="26" t="str">
        <x:v>建议</x:v>
      </x:c>
      <x:c r="E14" s="26" t="str">
        <x:v>Calibration Is Not Enough: Evaluating Confidence Estimation Under Language Variations</x:v>
      </x:c>
      <x:c r="F14" s="26" t="str">
        <x:v>2026 / arXiv</x:v>
      </x:c>
      <x:c r="G14" s="26" t="str">
        <x:v>LLM confidence estimation</x:v>
      </x:c>
      <x:c r="H14" s="26" t="str">
        <x:v>semantically equivalent prompt / answer variations</x:v>
      </x:c>
      <x:c r="I14" s="26" t="str">
        <x:v>否</x:v>
      </x:c>
      <x:c r="J14" s="26" t="str">
        <x:v>是</x:v>
      </x:c>
      <x:c r="K14" s="26" t="str">
        <x:v>间接：confidence robustness / sensitivity</x:v>
      </x:c>
      <x:c r="L14" s="26" t="str">
        <x:v>否</x:v>
      </x:c>
      <x:c r="M14" s="26" t="str">
        <x:v>提出 prompt-variation robustness、semantic-equivalent answer stability、semantic-different sensitivity 三类 CE 评估</x:v>
      </x:c>
      <x:c r="N14" s="26" t="str">
        <x:v>强化‘同义输入下，可靠性指标本身也要稳定’这一思想</x:v>
      </x:c>
      <x:c r="O14" s="26" t="str">
        <x:v>不涉及 preference / route / planning</x:v>
      </x:c>
      <x:c r="P14" s="26" t="str">
        <x:v>可用于我们后续若增加 uncertainty-aware abstention 的指标设计</x:v>
      </x:c>
      <x:c r="Q14" s="26" t="str">
        <x:v>Optional methods reference</x:v>
      </x:c>
      <x:c r="R14" s="26" t="str">
        <x:v>https://arxiv.org/abs/2601.08064</x:v>
      </x:c>
      <x:c r="S14" s="26" t="str">
        <x:v>可选</x:v>
      </x:c>
    </x:row>
  </x:sheetData>
  <x:mergeCells>
    <x:mergeCell ref="A1:S1"/>
    <x:mergeCell ref="A2:S2"/>
  </x:mergeCells>
  <x:conditionalFormatting sqref="C5:C1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B5:B14">
    <x:cfRule type="expression" dxfId="6" priority="2">
      <x:formula>LEFT(B5,1)="A"</x:formula>
    </x:cfRule>
  </x:conditionalFormatting>
  <x:conditionalFormatting sqref="D5:D14">
    <x:cfRule type="expression" dxfId="7" priority="3">
      <x:formula>D5="必引"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1de162c8724fa5"/>
  </x:tableParts>
</x:worksheet>
</file>